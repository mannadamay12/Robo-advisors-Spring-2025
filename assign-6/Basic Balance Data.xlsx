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old X1\trading_strategies\2025\"/>
    </mc:Choice>
  </mc:AlternateContent>
  <xr:revisionPtr revIDLastSave="0" documentId="8_{07FEABF0-6222-4DDB-8891-D6BD131A7CB5}" xr6:coauthVersionLast="47" xr6:coauthVersionMax="47" xr10:uidLastSave="{00000000-0000-0000-0000-000000000000}"/>
  <bookViews>
    <workbookView xWindow="-110" yWindow="-110" windowWidth="19420" windowHeight="11500" xr2:uid="{00000000-000D-0000-FFFF-FFFF00000000}"/>
  </bookViews>
  <sheets>
    <sheet name="Glossary" sheetId="8" r:id="rId1"/>
    <sheet name="TIC data" sheetId="5" r:id="rId2"/>
    <sheet name="Basic Balance" sheetId="6" r:id="rId3"/>
    <sheet name="Disclaimer"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9" i="6" l="1"/>
  <c r="G220" i="6"/>
  <c r="J220" i="6" s="1"/>
  <c r="G221" i="6"/>
  <c r="J221" i="6" s="1"/>
  <c r="G222" i="6"/>
  <c r="G223" i="6"/>
  <c r="G224" i="6"/>
  <c r="G225" i="6"/>
  <c r="J225" i="6" s="1"/>
  <c r="G226" i="6"/>
  <c r="C226" i="6"/>
  <c r="C225" i="6"/>
  <c r="C224" i="6"/>
  <c r="C223" i="6"/>
  <c r="C222" i="6"/>
  <c r="C221" i="6"/>
  <c r="C220" i="6"/>
  <c r="C219" i="6"/>
  <c r="Q422" i="5"/>
  <c r="R422" i="5"/>
  <c r="S422" i="5"/>
  <c r="T422" i="5"/>
  <c r="V422" i="5"/>
  <c r="W422" i="5"/>
  <c r="Q423" i="5"/>
  <c r="AA423" i="5" s="1"/>
  <c r="R423" i="5"/>
  <c r="AJ425" i="5" s="1"/>
  <c r="S423" i="5"/>
  <c r="T423" i="5"/>
  <c r="V423" i="5"/>
  <c r="W423" i="5"/>
  <c r="Q424" i="5"/>
  <c r="R424" i="5"/>
  <c r="S424" i="5"/>
  <c r="T424" i="5"/>
  <c r="V424" i="5"/>
  <c r="W424" i="5"/>
  <c r="AA424" i="5"/>
  <c r="Q425" i="5"/>
  <c r="Y425" i="5" s="1"/>
  <c r="R425" i="5"/>
  <c r="S425" i="5"/>
  <c r="T425" i="5"/>
  <c r="V425" i="5"/>
  <c r="W425" i="5"/>
  <c r="Q426" i="5"/>
  <c r="R426" i="5"/>
  <c r="S426" i="5"/>
  <c r="T426" i="5"/>
  <c r="V426" i="5"/>
  <c r="W426" i="5"/>
  <c r="Q427" i="5"/>
  <c r="R427" i="5"/>
  <c r="S427" i="5"/>
  <c r="T427" i="5"/>
  <c r="V427" i="5"/>
  <c r="W427" i="5"/>
  <c r="Q428" i="5"/>
  <c r="R428" i="5"/>
  <c r="S428" i="5"/>
  <c r="T428" i="5"/>
  <c r="V428" i="5"/>
  <c r="W428" i="5"/>
  <c r="Q429" i="5"/>
  <c r="Y429" i="5" s="1"/>
  <c r="R429" i="5"/>
  <c r="S429" i="5"/>
  <c r="T429" i="5"/>
  <c r="V429" i="5"/>
  <c r="W429" i="5"/>
  <c r="G207" i="6"/>
  <c r="G208" i="6"/>
  <c r="J208" i="6" s="1"/>
  <c r="G209" i="6"/>
  <c r="G210" i="6"/>
  <c r="G211" i="6"/>
  <c r="J211" i="6" s="1"/>
  <c r="G212" i="6"/>
  <c r="J212" i="6"/>
  <c r="G213" i="6"/>
  <c r="J213" i="6" s="1"/>
  <c r="G214" i="6"/>
  <c r="G215" i="6"/>
  <c r="J215" i="6" s="1"/>
  <c r="G216" i="6"/>
  <c r="J216" i="6"/>
  <c r="G217" i="6"/>
  <c r="J217" i="6" s="1"/>
  <c r="G218" i="6"/>
  <c r="C207" i="6"/>
  <c r="C208" i="6"/>
  <c r="C209" i="6"/>
  <c r="C210" i="6"/>
  <c r="C211" i="6"/>
  <c r="C212" i="6"/>
  <c r="C213" i="6"/>
  <c r="C214" i="6"/>
  <c r="C215" i="6"/>
  <c r="C216" i="6"/>
  <c r="C217" i="6"/>
  <c r="C218" i="6"/>
  <c r="Q410" i="5"/>
  <c r="R410" i="5"/>
  <c r="S410" i="5"/>
  <c r="T410" i="5"/>
  <c r="V410" i="5"/>
  <c r="W410" i="5"/>
  <c r="AC410" i="5"/>
  <c r="Q411" i="5"/>
  <c r="R411" i="5"/>
  <c r="S411" i="5"/>
  <c r="T411" i="5"/>
  <c r="V411" i="5"/>
  <c r="W411" i="5"/>
  <c r="AC411" i="5"/>
  <c r="Q412" i="5"/>
  <c r="R412" i="5"/>
  <c r="AJ421" i="5" s="1"/>
  <c r="S412" i="5"/>
  <c r="AK423" i="5" s="1"/>
  <c r="T412" i="5"/>
  <c r="V412" i="5"/>
  <c r="W412" i="5"/>
  <c r="AC412" i="5"/>
  <c r="Q413" i="5"/>
  <c r="R413" i="5"/>
  <c r="S413" i="5"/>
  <c r="T413" i="5"/>
  <c r="V413" i="5"/>
  <c r="W413" i="5"/>
  <c r="AC413" i="5"/>
  <c r="Q414" i="5"/>
  <c r="R414" i="5"/>
  <c r="S414" i="5"/>
  <c r="T414" i="5"/>
  <c r="V414" i="5"/>
  <c r="W414" i="5"/>
  <c r="AC414" i="5"/>
  <c r="Q415" i="5"/>
  <c r="R415" i="5"/>
  <c r="S415" i="5"/>
  <c r="AK426" i="5" s="1"/>
  <c r="T415" i="5"/>
  <c r="V415" i="5"/>
  <c r="Z415" i="5" s="1"/>
  <c r="W415" i="5"/>
  <c r="AC415" i="5"/>
  <c r="Q416" i="5"/>
  <c r="R416" i="5"/>
  <c r="S416" i="5"/>
  <c r="T416" i="5"/>
  <c r="V416" i="5"/>
  <c r="W416" i="5"/>
  <c r="Z416" i="5" s="1"/>
  <c r="AC416" i="5"/>
  <c r="Q417" i="5"/>
  <c r="R417" i="5"/>
  <c r="S417" i="5"/>
  <c r="T417" i="5"/>
  <c r="V417" i="5"/>
  <c r="W417" i="5"/>
  <c r="AC417" i="5"/>
  <c r="Q418" i="5"/>
  <c r="R418" i="5"/>
  <c r="S418" i="5"/>
  <c r="T418" i="5"/>
  <c r="V418" i="5"/>
  <c r="W418" i="5"/>
  <c r="AC418" i="5"/>
  <c r="Q419" i="5"/>
  <c r="R419" i="5"/>
  <c r="S419" i="5"/>
  <c r="T419" i="5"/>
  <c r="V419" i="5"/>
  <c r="Z419" i="5" s="1"/>
  <c r="W419" i="5"/>
  <c r="AC419" i="5"/>
  <c r="Q420" i="5"/>
  <c r="R420" i="5"/>
  <c r="S420" i="5"/>
  <c r="AK428" i="5" s="1"/>
  <c r="T420" i="5"/>
  <c r="AL428" i="5" s="1"/>
  <c r="V420" i="5"/>
  <c r="Z420" i="5" s="1"/>
  <c r="W420" i="5"/>
  <c r="AC420" i="5"/>
  <c r="Q421" i="5"/>
  <c r="R421" i="5"/>
  <c r="S421" i="5"/>
  <c r="T421" i="5"/>
  <c r="V421" i="5"/>
  <c r="W421" i="5"/>
  <c r="AC421" i="5"/>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 i="6"/>
  <c r="C3" i="6"/>
  <c r="C4" i="6"/>
  <c r="C5" i="6"/>
  <c r="C6" i="6"/>
  <c r="C7" i="6"/>
  <c r="C8" i="6"/>
  <c r="C9" i="6"/>
  <c r="C10" i="6"/>
  <c r="C11" i="6"/>
  <c r="C12" i="6"/>
  <c r="C13" i="6"/>
  <c r="C14" i="6"/>
  <c r="C15" i="6"/>
  <c r="C16" i="6"/>
  <c r="C17" i="6"/>
  <c r="G182" i="6"/>
  <c r="J182" i="6" s="1"/>
  <c r="G183" i="6"/>
  <c r="J183" i="6" s="1"/>
  <c r="G184" i="6"/>
  <c r="J184" i="6" s="1"/>
  <c r="G185" i="6"/>
  <c r="J185" i="6" s="1"/>
  <c r="G186" i="6"/>
  <c r="J186" i="6" s="1"/>
  <c r="G187" i="6"/>
  <c r="J187" i="6" s="1"/>
  <c r="G188" i="6"/>
  <c r="J188" i="6" s="1"/>
  <c r="G189" i="6"/>
  <c r="J189" i="6" s="1"/>
  <c r="G190" i="6"/>
  <c r="J190" i="6" s="1"/>
  <c r="G191" i="6"/>
  <c r="J191" i="6" s="1"/>
  <c r="G192" i="6"/>
  <c r="J192" i="6" s="1"/>
  <c r="G193" i="6"/>
  <c r="J193" i="6" s="1"/>
  <c r="G194" i="6"/>
  <c r="J194" i="6" s="1"/>
  <c r="G195" i="6"/>
  <c r="J195" i="6" s="1"/>
  <c r="G196" i="6"/>
  <c r="J196" i="6" s="1"/>
  <c r="G197" i="6"/>
  <c r="J197" i="6" s="1"/>
  <c r="G198" i="6"/>
  <c r="J198" i="6" s="1"/>
  <c r="G199" i="6"/>
  <c r="J199" i="6" s="1"/>
  <c r="G200" i="6"/>
  <c r="J200" i="6" s="1"/>
  <c r="G201" i="6"/>
  <c r="J201" i="6" s="1"/>
  <c r="G202" i="6"/>
  <c r="J202" i="6" s="1"/>
  <c r="G203" i="6"/>
  <c r="J203" i="6" s="1"/>
  <c r="G204" i="6"/>
  <c r="J204" i="6" s="1"/>
  <c r="G205" i="6"/>
  <c r="J205" i="6" s="1"/>
  <c r="G206" i="6"/>
  <c r="J206" i="6" s="1"/>
  <c r="Q385" i="5"/>
  <c r="R385" i="5"/>
  <c r="S385" i="5"/>
  <c r="T385" i="5"/>
  <c r="V385" i="5"/>
  <c r="Z385" i="5" s="1"/>
  <c r="W385" i="5"/>
  <c r="AC385" i="5"/>
  <c r="Q374" i="5"/>
  <c r="R374" i="5"/>
  <c r="S374" i="5"/>
  <c r="T374" i="5"/>
  <c r="AL382" i="5" s="1"/>
  <c r="Q375" i="5"/>
  <c r="R375" i="5"/>
  <c r="S375" i="5"/>
  <c r="T375" i="5"/>
  <c r="Q376" i="5"/>
  <c r="R376" i="5"/>
  <c r="Y376" i="5" s="1"/>
  <c r="S376" i="5"/>
  <c r="T376" i="5"/>
  <c r="Q377" i="5"/>
  <c r="R377" i="5"/>
  <c r="S377" i="5"/>
  <c r="T377" i="5"/>
  <c r="Q378" i="5"/>
  <c r="R378" i="5"/>
  <c r="S378" i="5"/>
  <c r="T378" i="5"/>
  <c r="Q379" i="5"/>
  <c r="R379" i="5"/>
  <c r="AA379" i="5" s="1"/>
  <c r="S379" i="5"/>
  <c r="T379" i="5"/>
  <c r="Q380" i="5"/>
  <c r="R380" i="5"/>
  <c r="S380" i="5"/>
  <c r="T380" i="5"/>
  <c r="Q381" i="5"/>
  <c r="R381" i="5"/>
  <c r="S381" i="5"/>
  <c r="T381" i="5"/>
  <c r="Q382" i="5"/>
  <c r="R382" i="5"/>
  <c r="S382" i="5"/>
  <c r="T382" i="5"/>
  <c r="Q383" i="5"/>
  <c r="R383" i="5"/>
  <c r="S383" i="5"/>
  <c r="T383" i="5"/>
  <c r="Y383" i="5" s="1"/>
  <c r="Q384" i="5"/>
  <c r="AI393" i="5" s="1"/>
  <c r="R384" i="5"/>
  <c r="S384" i="5"/>
  <c r="T384" i="5"/>
  <c r="V374" i="5"/>
  <c r="W374" i="5"/>
  <c r="V375" i="5"/>
  <c r="W375" i="5"/>
  <c r="V376" i="5"/>
  <c r="W376" i="5"/>
  <c r="V377" i="5"/>
  <c r="W377" i="5"/>
  <c r="V378" i="5"/>
  <c r="Z378" i="5" s="1"/>
  <c r="W378" i="5"/>
  <c r="V379" i="5"/>
  <c r="W379" i="5"/>
  <c r="V380" i="5"/>
  <c r="W380" i="5"/>
  <c r="V381" i="5"/>
  <c r="W381" i="5"/>
  <c r="V382" i="5"/>
  <c r="W382" i="5"/>
  <c r="V383" i="5"/>
  <c r="W383" i="5"/>
  <c r="Z383" i="5" s="1"/>
  <c r="V384" i="5"/>
  <c r="W384" i="5"/>
  <c r="Q386" i="5"/>
  <c r="R386" i="5"/>
  <c r="S386" i="5"/>
  <c r="T386" i="5"/>
  <c r="V386" i="5"/>
  <c r="W386" i="5"/>
  <c r="Z386" i="5" s="1"/>
  <c r="AC386" i="5"/>
  <c r="Q387" i="5"/>
  <c r="R387" i="5"/>
  <c r="S387" i="5"/>
  <c r="T387" i="5"/>
  <c r="AL397" i="5" s="1"/>
  <c r="V387" i="5"/>
  <c r="W387" i="5"/>
  <c r="AC387" i="5"/>
  <c r="Q388" i="5"/>
  <c r="R388" i="5"/>
  <c r="S388" i="5"/>
  <c r="T388" i="5"/>
  <c r="V388" i="5"/>
  <c r="W388" i="5"/>
  <c r="AC388" i="5"/>
  <c r="Q389" i="5"/>
  <c r="AI396" i="5" s="1"/>
  <c r="R389" i="5"/>
  <c r="S389" i="5"/>
  <c r="T389" i="5"/>
  <c r="V389" i="5"/>
  <c r="W389" i="5"/>
  <c r="AC389" i="5"/>
  <c r="Q390" i="5"/>
  <c r="R390" i="5"/>
  <c r="S390" i="5"/>
  <c r="T390" i="5"/>
  <c r="V390" i="5"/>
  <c r="W390" i="5"/>
  <c r="AC390" i="5"/>
  <c r="Q391" i="5"/>
  <c r="R391" i="5"/>
  <c r="S391" i="5"/>
  <c r="T391" i="5"/>
  <c r="V391" i="5"/>
  <c r="W391" i="5"/>
  <c r="AC391" i="5"/>
  <c r="Q392" i="5"/>
  <c r="R392" i="5"/>
  <c r="S392" i="5"/>
  <c r="T392" i="5"/>
  <c r="AL403" i="5" s="1"/>
  <c r="V392" i="5"/>
  <c r="W392" i="5"/>
  <c r="AC392" i="5"/>
  <c r="Q393" i="5"/>
  <c r="R393" i="5"/>
  <c r="S393" i="5"/>
  <c r="T393" i="5"/>
  <c r="V393" i="5"/>
  <c r="W393" i="5"/>
  <c r="AC393" i="5"/>
  <c r="Q394" i="5"/>
  <c r="R394" i="5"/>
  <c r="AJ404" i="5" s="1"/>
  <c r="S394" i="5"/>
  <c r="T394" i="5"/>
  <c r="V394" i="5"/>
  <c r="W394" i="5"/>
  <c r="AC394" i="5"/>
  <c r="Q395" i="5"/>
  <c r="R395" i="5"/>
  <c r="S395" i="5"/>
  <c r="T395" i="5"/>
  <c r="V395" i="5"/>
  <c r="AA395" i="5" s="1"/>
  <c r="W395" i="5"/>
  <c r="AC395" i="5"/>
  <c r="Q396" i="5"/>
  <c r="R396" i="5"/>
  <c r="S396" i="5"/>
  <c r="T396" i="5"/>
  <c r="V396" i="5"/>
  <c r="AA396" i="5" s="1"/>
  <c r="W396" i="5"/>
  <c r="AC396" i="5"/>
  <c r="Q397" i="5"/>
  <c r="R397" i="5"/>
  <c r="S397" i="5"/>
  <c r="AK408" i="5" s="1"/>
  <c r="T397" i="5"/>
  <c r="V397" i="5"/>
  <c r="Z397" i="5" s="1"/>
  <c r="W397" i="5"/>
  <c r="AC397" i="5"/>
  <c r="Q398" i="5"/>
  <c r="R398" i="5"/>
  <c r="S398" i="5"/>
  <c r="AA398" i="5" s="1"/>
  <c r="T398" i="5"/>
  <c r="V398" i="5"/>
  <c r="Z398" i="5" s="1"/>
  <c r="W398" i="5"/>
  <c r="AC398" i="5"/>
  <c r="Q399" i="5"/>
  <c r="AI408" i="5" s="1"/>
  <c r="R399" i="5"/>
  <c r="S399" i="5"/>
  <c r="T399" i="5"/>
  <c r="V399" i="5"/>
  <c r="Z399" i="5" s="1"/>
  <c r="W399" i="5"/>
  <c r="AC399" i="5"/>
  <c r="Q400" i="5"/>
  <c r="R400" i="5"/>
  <c r="S400" i="5"/>
  <c r="T400" i="5"/>
  <c r="V400" i="5"/>
  <c r="W400" i="5"/>
  <c r="AC400" i="5"/>
  <c r="Q401" i="5"/>
  <c r="R401" i="5"/>
  <c r="S401" i="5"/>
  <c r="T401" i="5"/>
  <c r="V401" i="5"/>
  <c r="W401" i="5"/>
  <c r="AC401" i="5"/>
  <c r="Q402" i="5"/>
  <c r="R402" i="5"/>
  <c r="S402" i="5"/>
  <c r="T402" i="5"/>
  <c r="Y402" i="5" s="1"/>
  <c r="V402" i="5"/>
  <c r="W402" i="5"/>
  <c r="AC402" i="5"/>
  <c r="Q403" i="5"/>
  <c r="R403" i="5"/>
  <c r="S403" i="5"/>
  <c r="T403" i="5"/>
  <c r="Y403" i="5" s="1"/>
  <c r="V403" i="5"/>
  <c r="W403" i="5"/>
  <c r="AC403" i="5"/>
  <c r="Q404" i="5"/>
  <c r="R404" i="5"/>
  <c r="S404" i="5"/>
  <c r="T404" i="5"/>
  <c r="AL408" i="5" s="1"/>
  <c r="V404" i="5"/>
  <c r="W404" i="5"/>
  <c r="AC404" i="5"/>
  <c r="Q405" i="5"/>
  <c r="R405" i="5"/>
  <c r="S405" i="5"/>
  <c r="T405" i="5"/>
  <c r="V405" i="5"/>
  <c r="W405" i="5"/>
  <c r="Z405" i="5" s="1"/>
  <c r="AC405" i="5"/>
  <c r="Q406" i="5"/>
  <c r="R406" i="5"/>
  <c r="S406" i="5"/>
  <c r="T406" i="5"/>
  <c r="V406" i="5"/>
  <c r="W406" i="5"/>
  <c r="Z406" i="5" s="1"/>
  <c r="AC406" i="5"/>
  <c r="Q407" i="5"/>
  <c r="R407" i="5"/>
  <c r="S407" i="5"/>
  <c r="T407" i="5"/>
  <c r="V407" i="5"/>
  <c r="Z407" i="5" s="1"/>
  <c r="W407" i="5"/>
  <c r="AC407" i="5"/>
  <c r="Q408" i="5"/>
  <c r="R408" i="5"/>
  <c r="S408" i="5"/>
  <c r="T408" i="5"/>
  <c r="V408" i="5"/>
  <c r="W408" i="5"/>
  <c r="AC408" i="5"/>
  <c r="Q409" i="5"/>
  <c r="R409" i="5"/>
  <c r="S409" i="5"/>
  <c r="AA409" i="5" s="1"/>
  <c r="T409" i="5"/>
  <c r="V409" i="5"/>
  <c r="Z409" i="5" s="1"/>
  <c r="W409" i="5"/>
  <c r="AC409" i="5"/>
  <c r="G171" i="6"/>
  <c r="G172" i="6"/>
  <c r="G173" i="6"/>
  <c r="G174" i="6"/>
  <c r="J174" i="6" s="1"/>
  <c r="G175" i="6"/>
  <c r="G176" i="6"/>
  <c r="J176" i="6" s="1"/>
  <c r="G177" i="6"/>
  <c r="J177" i="6" s="1"/>
  <c r="G178" i="6"/>
  <c r="J178" i="6" s="1"/>
  <c r="G179" i="6"/>
  <c r="G180" i="6"/>
  <c r="G181" i="6"/>
  <c r="E171" i="6"/>
  <c r="E172" i="6"/>
  <c r="E173" i="6"/>
  <c r="E174" i="6"/>
  <c r="E175" i="6"/>
  <c r="E176" i="6"/>
  <c r="E177" i="6"/>
  <c r="E178" i="6"/>
  <c r="E179" i="6"/>
  <c r="E180" i="6"/>
  <c r="E181" i="6"/>
  <c r="AC374" i="5"/>
  <c r="AC375" i="5"/>
  <c r="AC376" i="5"/>
  <c r="AC377" i="5"/>
  <c r="AC378" i="5"/>
  <c r="AC379" i="5"/>
  <c r="AC380" i="5"/>
  <c r="AC381" i="5"/>
  <c r="AC382" i="5"/>
  <c r="AC383" i="5"/>
  <c r="AC384" i="5"/>
  <c r="G153" i="6"/>
  <c r="J153" i="6" s="1"/>
  <c r="Q345" i="5"/>
  <c r="R345" i="5"/>
  <c r="S345" i="5"/>
  <c r="T345" i="5"/>
  <c r="V345" i="5"/>
  <c r="W345" i="5"/>
  <c r="Q346" i="5"/>
  <c r="R346" i="5"/>
  <c r="S346" i="5"/>
  <c r="T346" i="5"/>
  <c r="V346" i="5"/>
  <c r="W346" i="5"/>
  <c r="Q347" i="5"/>
  <c r="R347" i="5"/>
  <c r="S347" i="5"/>
  <c r="T347" i="5"/>
  <c r="V347" i="5"/>
  <c r="W347" i="5"/>
  <c r="Q348" i="5"/>
  <c r="R348" i="5"/>
  <c r="S348" i="5"/>
  <c r="T348" i="5"/>
  <c r="Y348" i="5" s="1"/>
  <c r="V348" i="5"/>
  <c r="W348" i="5"/>
  <c r="Q349" i="5"/>
  <c r="R349" i="5"/>
  <c r="S349" i="5"/>
  <c r="T349" i="5"/>
  <c r="V349" i="5"/>
  <c r="W349" i="5"/>
  <c r="Q350" i="5"/>
  <c r="R350" i="5"/>
  <c r="S350" i="5"/>
  <c r="T350" i="5"/>
  <c r="V350" i="5"/>
  <c r="W350" i="5"/>
  <c r="Q351" i="5"/>
  <c r="R351" i="5"/>
  <c r="S351" i="5"/>
  <c r="T351" i="5"/>
  <c r="V351" i="5"/>
  <c r="W351" i="5"/>
  <c r="Q352" i="5"/>
  <c r="R352" i="5"/>
  <c r="S352" i="5"/>
  <c r="T352" i="5"/>
  <c r="V352" i="5"/>
  <c r="W352" i="5"/>
  <c r="Q353" i="5"/>
  <c r="R353" i="5"/>
  <c r="S353" i="5"/>
  <c r="T353" i="5"/>
  <c r="V353" i="5"/>
  <c r="W353" i="5"/>
  <c r="Q354" i="5"/>
  <c r="R354" i="5"/>
  <c r="S354" i="5"/>
  <c r="T354" i="5"/>
  <c r="V354" i="5"/>
  <c r="W354" i="5"/>
  <c r="Q355" i="5"/>
  <c r="R355" i="5"/>
  <c r="S355" i="5"/>
  <c r="T355" i="5"/>
  <c r="V355" i="5"/>
  <c r="W355" i="5"/>
  <c r="Q356" i="5"/>
  <c r="R356" i="5"/>
  <c r="S356" i="5"/>
  <c r="T356" i="5"/>
  <c r="AA356" i="5" s="1"/>
  <c r="V356" i="5"/>
  <c r="Z356" i="5" s="1"/>
  <c r="W356" i="5"/>
  <c r="G154" i="6"/>
  <c r="J154" i="6" s="1"/>
  <c r="Q357" i="5"/>
  <c r="R357" i="5"/>
  <c r="S357" i="5"/>
  <c r="T357" i="5"/>
  <c r="V357" i="5"/>
  <c r="Z357" i="5" s="1"/>
  <c r="W357" i="5"/>
  <c r="Q358" i="5"/>
  <c r="R358" i="5"/>
  <c r="S358" i="5"/>
  <c r="T358" i="5"/>
  <c r="V358" i="5"/>
  <c r="Z358" i="5" s="1"/>
  <c r="W358" i="5"/>
  <c r="Q359" i="5"/>
  <c r="R359" i="5"/>
  <c r="S359" i="5"/>
  <c r="T359" i="5"/>
  <c r="V359" i="5"/>
  <c r="W359" i="5"/>
  <c r="Q360" i="5"/>
  <c r="R360" i="5"/>
  <c r="S360" i="5"/>
  <c r="AA360" i="5" s="1"/>
  <c r="T360" i="5"/>
  <c r="V360" i="5"/>
  <c r="Z360" i="5" s="1"/>
  <c r="W360" i="5"/>
  <c r="Q361" i="5"/>
  <c r="R361" i="5"/>
  <c r="S361" i="5"/>
  <c r="T361" i="5"/>
  <c r="V361" i="5"/>
  <c r="W361" i="5"/>
  <c r="Q362" i="5"/>
  <c r="R362" i="5"/>
  <c r="S362" i="5"/>
  <c r="T362" i="5"/>
  <c r="V362" i="5"/>
  <c r="W362" i="5"/>
  <c r="Q363" i="5"/>
  <c r="R363" i="5"/>
  <c r="S363" i="5"/>
  <c r="T363" i="5"/>
  <c r="AA363" i="5" s="1"/>
  <c r="V363" i="5"/>
  <c r="W363" i="5"/>
  <c r="Q364" i="5"/>
  <c r="R364" i="5"/>
  <c r="S364" i="5"/>
  <c r="T364" i="5"/>
  <c r="V364" i="5"/>
  <c r="Z364" i="5" s="1"/>
  <c r="W364" i="5"/>
  <c r="Q365" i="5"/>
  <c r="R365" i="5"/>
  <c r="S365" i="5"/>
  <c r="T365" i="5"/>
  <c r="V365" i="5"/>
  <c r="W365" i="5"/>
  <c r="Q366" i="5"/>
  <c r="R366" i="5"/>
  <c r="S366" i="5"/>
  <c r="T366" i="5"/>
  <c r="V366" i="5"/>
  <c r="W366" i="5"/>
  <c r="Z366" i="5" s="1"/>
  <c r="Q367" i="5"/>
  <c r="R367" i="5"/>
  <c r="S367" i="5"/>
  <c r="T367" i="5"/>
  <c r="V367" i="5"/>
  <c r="W367" i="5"/>
  <c r="Q368" i="5"/>
  <c r="R368" i="5"/>
  <c r="S368" i="5"/>
  <c r="T368" i="5"/>
  <c r="V368" i="5"/>
  <c r="W368" i="5"/>
  <c r="G155" i="6"/>
  <c r="J155" i="6"/>
  <c r="G156" i="6"/>
  <c r="J156" i="6" s="1"/>
  <c r="G157" i="6"/>
  <c r="J157" i="6" s="1"/>
  <c r="G158" i="6"/>
  <c r="J158" i="6" s="1"/>
  <c r="G159" i="6"/>
  <c r="J159" i="6" s="1"/>
  <c r="G160" i="6"/>
  <c r="J160" i="6" s="1"/>
  <c r="Q369" i="5"/>
  <c r="Q370" i="5"/>
  <c r="Q371" i="5"/>
  <c r="Q372" i="5"/>
  <c r="Q373" i="5"/>
  <c r="R369" i="5"/>
  <c r="R370" i="5"/>
  <c r="R371" i="5"/>
  <c r="R372" i="5"/>
  <c r="AJ380" i="5" s="1"/>
  <c r="R373" i="5"/>
  <c r="S369" i="5"/>
  <c r="S370" i="5"/>
  <c r="S371" i="5"/>
  <c r="S372" i="5"/>
  <c r="S373" i="5"/>
  <c r="T369" i="5"/>
  <c r="AL380" i="5" s="1"/>
  <c r="T370" i="5"/>
  <c r="T371" i="5"/>
  <c r="T372" i="5"/>
  <c r="T373" i="5"/>
  <c r="G161" i="6"/>
  <c r="J161" i="6" s="1"/>
  <c r="G162" i="6"/>
  <c r="J162" i="6" s="1"/>
  <c r="G163" i="6"/>
  <c r="J163" i="6" s="1"/>
  <c r="G164" i="6"/>
  <c r="J164" i="6" s="1"/>
  <c r="V369" i="5"/>
  <c r="W369" i="5"/>
  <c r="V370" i="5"/>
  <c r="W370" i="5"/>
  <c r="G165" i="6"/>
  <c r="J165" i="6" s="1"/>
  <c r="G166" i="6"/>
  <c r="J166" i="6" s="1"/>
  <c r="V371" i="5"/>
  <c r="W371" i="5"/>
  <c r="V372" i="5"/>
  <c r="W372" i="5"/>
  <c r="V373" i="5"/>
  <c r="W373" i="5"/>
  <c r="G167" i="6"/>
  <c r="J167" i="6" s="1"/>
  <c r="G168" i="6"/>
  <c r="J168" i="6" s="1"/>
  <c r="G169" i="6"/>
  <c r="J169" i="6" s="1"/>
  <c r="G170" i="6"/>
  <c r="J170" i="6" s="1"/>
  <c r="E153" i="6"/>
  <c r="E154" i="6"/>
  <c r="E155" i="6"/>
  <c r="E156" i="6"/>
  <c r="E157" i="6"/>
  <c r="E158" i="6"/>
  <c r="E159" i="6"/>
  <c r="E160" i="6"/>
  <c r="E161" i="6"/>
  <c r="E162" i="6"/>
  <c r="E163" i="6"/>
  <c r="E164" i="6"/>
  <c r="E165" i="6"/>
  <c r="E166" i="6"/>
  <c r="E167" i="6"/>
  <c r="E168" i="6"/>
  <c r="E169" i="6"/>
  <c r="E170" i="6"/>
  <c r="G19" i="6"/>
  <c r="G20" i="6"/>
  <c r="J20" i="6" s="1"/>
  <c r="G21" i="6"/>
  <c r="G22" i="6"/>
  <c r="J22" i="6" s="1"/>
  <c r="G23" i="6"/>
  <c r="G24" i="6"/>
  <c r="G25" i="6"/>
  <c r="J25" i="6" s="1"/>
  <c r="G26" i="6"/>
  <c r="G27" i="6"/>
  <c r="J27" i="6" s="1"/>
  <c r="G28" i="6"/>
  <c r="J28" i="6" s="1"/>
  <c r="G29" i="6"/>
  <c r="J29" i="6" s="1"/>
  <c r="G30" i="6"/>
  <c r="J30" i="6" s="1"/>
  <c r="G31" i="6"/>
  <c r="G32" i="6"/>
  <c r="G33" i="6"/>
  <c r="G34" i="6"/>
  <c r="J34" i="6" s="1"/>
  <c r="G35" i="6"/>
  <c r="J35" i="6" s="1"/>
  <c r="G36" i="6"/>
  <c r="J36" i="6" s="1"/>
  <c r="G37" i="6"/>
  <c r="J37" i="6" s="1"/>
  <c r="G38" i="6"/>
  <c r="G39" i="6"/>
  <c r="G40" i="6"/>
  <c r="J40" i="6" s="1"/>
  <c r="G41" i="6"/>
  <c r="J41" i="6" s="1"/>
  <c r="G42" i="6"/>
  <c r="J42" i="6" s="1"/>
  <c r="G43" i="6"/>
  <c r="J43" i="6" s="1"/>
  <c r="G44" i="6"/>
  <c r="J44" i="6" s="1"/>
  <c r="G45" i="6"/>
  <c r="G46" i="6"/>
  <c r="J46" i="6" s="1"/>
  <c r="G47" i="6"/>
  <c r="J47" i="6" s="1"/>
  <c r="G48" i="6"/>
  <c r="G49" i="6"/>
  <c r="J49" i="6" s="1"/>
  <c r="G50" i="6"/>
  <c r="G51" i="6"/>
  <c r="J51" i="6" s="1"/>
  <c r="G52" i="6"/>
  <c r="J52" i="6" s="1"/>
  <c r="G53" i="6"/>
  <c r="G54" i="6"/>
  <c r="J54" i="6" s="1"/>
  <c r="G55" i="6"/>
  <c r="J55" i="6" s="1"/>
  <c r="G56" i="6"/>
  <c r="G57" i="6"/>
  <c r="G58" i="6"/>
  <c r="J58" i="6" s="1"/>
  <c r="G59" i="6"/>
  <c r="J59" i="6" s="1"/>
  <c r="G60" i="6"/>
  <c r="J60" i="6" s="1"/>
  <c r="G61" i="6"/>
  <c r="J61" i="6" s="1"/>
  <c r="G62" i="6"/>
  <c r="G63" i="6"/>
  <c r="G64" i="6"/>
  <c r="J64" i="6" s="1"/>
  <c r="G65" i="6"/>
  <c r="J65" i="6" s="1"/>
  <c r="G66" i="6"/>
  <c r="J66" i="6" s="1"/>
  <c r="G67" i="6"/>
  <c r="G68" i="6"/>
  <c r="J68" i="6" s="1"/>
  <c r="G69" i="6"/>
  <c r="G70" i="6"/>
  <c r="J70" i="6" s="1"/>
  <c r="G71" i="6"/>
  <c r="J71" i="6" s="1"/>
  <c r="G72" i="6"/>
  <c r="G73" i="6"/>
  <c r="J73" i="6" s="1"/>
  <c r="G74" i="6"/>
  <c r="G75" i="6"/>
  <c r="J75" i="6" s="1"/>
  <c r="G76" i="6"/>
  <c r="J76" i="6" s="1"/>
  <c r="G77" i="6"/>
  <c r="J77" i="6" s="1"/>
  <c r="G78" i="6"/>
  <c r="J78" i="6" s="1"/>
  <c r="G79" i="6"/>
  <c r="J79" i="6" s="1"/>
  <c r="G80" i="6"/>
  <c r="G81" i="6"/>
  <c r="G82" i="6"/>
  <c r="J82" i="6" s="1"/>
  <c r="G83" i="6"/>
  <c r="J83" i="6" s="1"/>
  <c r="G84" i="6"/>
  <c r="J84" i="6" s="1"/>
  <c r="G85" i="6"/>
  <c r="J85" i="6" s="1"/>
  <c r="G86" i="6"/>
  <c r="G87" i="6"/>
  <c r="G88" i="6"/>
  <c r="J88" i="6" s="1"/>
  <c r="G89" i="6"/>
  <c r="G90" i="6"/>
  <c r="J90" i="6" s="1"/>
  <c r="G91" i="6"/>
  <c r="J91" i="6" s="1"/>
  <c r="G92" i="6"/>
  <c r="J92" i="6" s="1"/>
  <c r="G93" i="6"/>
  <c r="G94" i="6"/>
  <c r="J94" i="6" s="1"/>
  <c r="G95" i="6"/>
  <c r="G96" i="6"/>
  <c r="G97" i="6"/>
  <c r="J97" i="6" s="1"/>
  <c r="G98" i="6"/>
  <c r="G99" i="6"/>
  <c r="J99" i="6" s="1"/>
  <c r="G100" i="6"/>
  <c r="J100" i="6" s="1"/>
  <c r="G101" i="6"/>
  <c r="G102" i="6"/>
  <c r="J102" i="6" s="1"/>
  <c r="G103" i="6"/>
  <c r="J103" i="6" s="1"/>
  <c r="G104" i="6"/>
  <c r="G105" i="6"/>
  <c r="G106" i="6"/>
  <c r="J106" i="6" s="1"/>
  <c r="G107" i="6"/>
  <c r="J107" i="6" s="1"/>
  <c r="G108" i="6"/>
  <c r="J108" i="6" s="1"/>
  <c r="G109" i="6"/>
  <c r="J109" i="6" s="1"/>
  <c r="G110" i="6"/>
  <c r="G111" i="6"/>
  <c r="G112" i="6"/>
  <c r="J112" i="6" s="1"/>
  <c r="G113" i="6"/>
  <c r="J113" i="6" s="1"/>
  <c r="G114" i="6"/>
  <c r="J114" i="6" s="1"/>
  <c r="G115" i="6"/>
  <c r="G116" i="6"/>
  <c r="J116" i="6" s="1"/>
  <c r="G117" i="6"/>
  <c r="G118" i="6"/>
  <c r="J118" i="6" s="1"/>
  <c r="G119" i="6"/>
  <c r="G120" i="6"/>
  <c r="G121" i="6"/>
  <c r="J121" i="6" s="1"/>
  <c r="G122" i="6"/>
  <c r="G123" i="6"/>
  <c r="J123" i="6" s="1"/>
  <c r="G124" i="6"/>
  <c r="J124" i="6" s="1"/>
  <c r="G125" i="6"/>
  <c r="J125" i="6" s="1"/>
  <c r="G126" i="6"/>
  <c r="J126" i="6" s="1"/>
  <c r="G127" i="6"/>
  <c r="G128" i="6"/>
  <c r="G129" i="6"/>
  <c r="G130" i="6"/>
  <c r="J130" i="6" s="1"/>
  <c r="G131" i="6"/>
  <c r="J131" i="6" s="1"/>
  <c r="G132" i="6"/>
  <c r="J132" i="6" s="1"/>
  <c r="G133" i="6"/>
  <c r="J133" i="6" s="1"/>
  <c r="G134" i="6"/>
  <c r="G135" i="6"/>
  <c r="G136" i="6"/>
  <c r="J136" i="6" s="1"/>
  <c r="G137" i="6"/>
  <c r="G138" i="6"/>
  <c r="J138" i="6" s="1"/>
  <c r="G139" i="6"/>
  <c r="J139" i="6" s="1"/>
  <c r="G140" i="6"/>
  <c r="J140" i="6" s="1"/>
  <c r="G141" i="6"/>
  <c r="G142" i="6"/>
  <c r="J142" i="6" s="1"/>
  <c r="G143" i="6"/>
  <c r="J143" i="6" s="1"/>
  <c r="G144" i="6"/>
  <c r="G145" i="6"/>
  <c r="J145" i="6" s="1"/>
  <c r="G146" i="6"/>
  <c r="G147" i="6"/>
  <c r="J147" i="6" s="1"/>
  <c r="G148" i="6"/>
  <c r="J148" i="6" s="1"/>
  <c r="G149" i="6"/>
  <c r="G150" i="6"/>
  <c r="J150" i="6" s="1"/>
  <c r="G151" i="6"/>
  <c r="J151" i="6" s="1"/>
  <c r="G152" i="6"/>
  <c r="G18" i="6"/>
  <c r="Z369" i="5"/>
  <c r="Z373" i="5"/>
  <c r="AC373" i="5"/>
  <c r="AC372" i="5"/>
  <c r="AC371" i="5"/>
  <c r="AC370" i="5"/>
  <c r="AC369" i="5"/>
  <c r="AC368" i="5"/>
  <c r="AC367" i="5"/>
  <c r="AC366" i="5"/>
  <c r="AC365" i="5"/>
  <c r="AC364" i="5"/>
  <c r="AC363" i="5"/>
  <c r="AC362" i="5"/>
  <c r="AC361" i="5"/>
  <c r="AC360" i="5"/>
  <c r="AC359" i="5"/>
  <c r="AC358" i="5"/>
  <c r="AC357" i="5"/>
  <c r="AC356" i="5"/>
  <c r="Q210" i="5"/>
  <c r="Y210" i="5" s="1"/>
  <c r="R210" i="5"/>
  <c r="S210" i="5"/>
  <c r="T210" i="5"/>
  <c r="V210" i="5"/>
  <c r="W210" i="5"/>
  <c r="Q211" i="5"/>
  <c r="R211" i="5"/>
  <c r="S211" i="5"/>
  <c r="T211" i="5"/>
  <c r="V211" i="5"/>
  <c r="Z211" i="5" s="1"/>
  <c r="W211" i="5"/>
  <c r="Q212" i="5"/>
  <c r="R212" i="5"/>
  <c r="S212" i="5"/>
  <c r="T212" i="5"/>
  <c r="V212" i="5"/>
  <c r="W212" i="5"/>
  <c r="Q213" i="5"/>
  <c r="R213" i="5"/>
  <c r="Y213" i="5" s="1"/>
  <c r="S213" i="5"/>
  <c r="T213" i="5"/>
  <c r="V213" i="5"/>
  <c r="W213" i="5"/>
  <c r="Q214" i="5"/>
  <c r="R214" i="5"/>
  <c r="S214" i="5"/>
  <c r="T214" i="5"/>
  <c r="V214" i="5"/>
  <c r="W214" i="5"/>
  <c r="Z214" i="5" s="1"/>
  <c r="Q215" i="5"/>
  <c r="R215" i="5"/>
  <c r="AA215" i="5" s="1"/>
  <c r="S215" i="5"/>
  <c r="T215" i="5"/>
  <c r="V215" i="5"/>
  <c r="Z215" i="5" s="1"/>
  <c r="W215" i="5"/>
  <c r="Q216" i="5"/>
  <c r="R216" i="5"/>
  <c r="S216" i="5"/>
  <c r="T216" i="5"/>
  <c r="V216" i="5"/>
  <c r="W216" i="5"/>
  <c r="Z216" i="5" s="1"/>
  <c r="Q217" i="5"/>
  <c r="Q218" i="5"/>
  <c r="Q219" i="5"/>
  <c r="Q220" i="5"/>
  <c r="Q221" i="5"/>
  <c r="Q222" i="5"/>
  <c r="R217" i="5"/>
  <c r="AA217" i="5" s="1"/>
  <c r="S217" i="5"/>
  <c r="T217" i="5"/>
  <c r="V217" i="5"/>
  <c r="W217" i="5"/>
  <c r="R218" i="5"/>
  <c r="S218" i="5"/>
  <c r="T218" i="5"/>
  <c r="V218" i="5"/>
  <c r="W218" i="5"/>
  <c r="R219" i="5"/>
  <c r="Y219" i="5" s="1"/>
  <c r="S219" i="5"/>
  <c r="T219" i="5"/>
  <c r="V219" i="5"/>
  <c r="W219" i="5"/>
  <c r="R220" i="5"/>
  <c r="S220" i="5"/>
  <c r="T220" i="5"/>
  <c r="V220" i="5"/>
  <c r="W220" i="5"/>
  <c r="Z220" i="5" s="1"/>
  <c r="Q223" i="5"/>
  <c r="Q224" i="5"/>
  <c r="R221" i="5"/>
  <c r="S221" i="5"/>
  <c r="T221" i="5"/>
  <c r="V221" i="5"/>
  <c r="W221" i="5"/>
  <c r="R222" i="5"/>
  <c r="S222" i="5"/>
  <c r="T222" i="5"/>
  <c r="V222" i="5"/>
  <c r="W222" i="5"/>
  <c r="Q225" i="5"/>
  <c r="Q226" i="5"/>
  <c r="R223" i="5"/>
  <c r="S223" i="5"/>
  <c r="T223" i="5"/>
  <c r="V223" i="5"/>
  <c r="W223" i="5"/>
  <c r="R224" i="5"/>
  <c r="S224" i="5"/>
  <c r="T224" i="5"/>
  <c r="V224" i="5"/>
  <c r="W224" i="5"/>
  <c r="Z224" i="5" s="1"/>
  <c r="Q227" i="5"/>
  <c r="Q228" i="5"/>
  <c r="R225" i="5"/>
  <c r="S225" i="5"/>
  <c r="T225" i="5"/>
  <c r="V225" i="5"/>
  <c r="W225" i="5"/>
  <c r="R226" i="5"/>
  <c r="S226" i="5"/>
  <c r="T226" i="5"/>
  <c r="V226" i="5"/>
  <c r="W226" i="5"/>
  <c r="Q229" i="5"/>
  <c r="Q230" i="5"/>
  <c r="R227" i="5"/>
  <c r="AJ238" i="5" s="1"/>
  <c r="S227" i="5"/>
  <c r="T227" i="5"/>
  <c r="V227" i="5"/>
  <c r="W227" i="5"/>
  <c r="R228" i="5"/>
  <c r="S228" i="5"/>
  <c r="T228" i="5"/>
  <c r="V228" i="5"/>
  <c r="W228" i="5"/>
  <c r="Q231" i="5"/>
  <c r="Q232" i="5"/>
  <c r="R229" i="5"/>
  <c r="Y229" i="5" s="1"/>
  <c r="S229" i="5"/>
  <c r="T229" i="5"/>
  <c r="V229" i="5"/>
  <c r="W229" i="5"/>
  <c r="R230" i="5"/>
  <c r="S230" i="5"/>
  <c r="T230" i="5"/>
  <c r="V230" i="5"/>
  <c r="W230" i="5"/>
  <c r="Q233" i="5"/>
  <c r="Q234" i="5"/>
  <c r="R231" i="5"/>
  <c r="S231" i="5"/>
  <c r="T231" i="5"/>
  <c r="V231" i="5"/>
  <c r="Z231" i="5" s="1"/>
  <c r="W231" i="5"/>
  <c r="R232" i="5"/>
  <c r="S232" i="5"/>
  <c r="T232" i="5"/>
  <c r="V232" i="5"/>
  <c r="W232" i="5"/>
  <c r="Z232" i="5" s="1"/>
  <c r="Q235" i="5"/>
  <c r="Q236" i="5"/>
  <c r="R233" i="5"/>
  <c r="S233" i="5"/>
  <c r="T233" i="5"/>
  <c r="V233" i="5"/>
  <c r="W233" i="5"/>
  <c r="R234" i="5"/>
  <c r="S234" i="5"/>
  <c r="T234" i="5"/>
  <c r="Y234" i="5" s="1"/>
  <c r="V234" i="5"/>
  <c r="W234" i="5"/>
  <c r="Z234" i="5" s="1"/>
  <c r="R235" i="5"/>
  <c r="S235" i="5"/>
  <c r="T235" i="5"/>
  <c r="V235" i="5"/>
  <c r="Z235" i="5" s="1"/>
  <c r="W235" i="5"/>
  <c r="R236" i="5"/>
  <c r="S236" i="5"/>
  <c r="T236" i="5"/>
  <c r="V236" i="5"/>
  <c r="AA236" i="5" s="1"/>
  <c r="W236" i="5"/>
  <c r="Q237" i="5"/>
  <c r="AI238" i="5" s="1"/>
  <c r="R237" i="5"/>
  <c r="S237" i="5"/>
  <c r="T237" i="5"/>
  <c r="V237" i="5"/>
  <c r="Z237" i="5" s="1"/>
  <c r="W237" i="5"/>
  <c r="Q238" i="5"/>
  <c r="R238" i="5"/>
  <c r="S238" i="5"/>
  <c r="T238" i="5"/>
  <c r="V238" i="5"/>
  <c r="AA238" i="5" s="1"/>
  <c r="W238" i="5"/>
  <c r="Q239" i="5"/>
  <c r="R239" i="5"/>
  <c r="S239" i="5"/>
  <c r="T239" i="5"/>
  <c r="V239" i="5"/>
  <c r="AA239" i="5" s="1"/>
  <c r="W239" i="5"/>
  <c r="Q240" i="5"/>
  <c r="R240" i="5"/>
  <c r="S240" i="5"/>
  <c r="T240" i="5"/>
  <c r="V240" i="5"/>
  <c r="W240" i="5"/>
  <c r="Q241" i="5"/>
  <c r="R241" i="5"/>
  <c r="S241" i="5"/>
  <c r="T241" i="5"/>
  <c r="V241" i="5"/>
  <c r="Z241" i="5" s="1"/>
  <c r="W241" i="5"/>
  <c r="Q242" i="5"/>
  <c r="R242" i="5"/>
  <c r="S242" i="5"/>
  <c r="T242" i="5"/>
  <c r="V242" i="5"/>
  <c r="Z242" i="5" s="1"/>
  <c r="W242" i="5"/>
  <c r="Q243" i="5"/>
  <c r="Y243" i="5" s="1"/>
  <c r="R243" i="5"/>
  <c r="S243" i="5"/>
  <c r="T243" i="5"/>
  <c r="V243" i="5"/>
  <c r="W243" i="5"/>
  <c r="Q244" i="5"/>
  <c r="R244" i="5"/>
  <c r="S244" i="5"/>
  <c r="T244" i="5"/>
  <c r="V244" i="5"/>
  <c r="W244" i="5"/>
  <c r="Q245" i="5"/>
  <c r="R245" i="5"/>
  <c r="S245" i="5"/>
  <c r="T245" i="5"/>
  <c r="V245" i="5"/>
  <c r="Z245" i="5" s="1"/>
  <c r="W245" i="5"/>
  <c r="Q246" i="5"/>
  <c r="R246" i="5"/>
  <c r="S246" i="5"/>
  <c r="T246" i="5"/>
  <c r="V246" i="5"/>
  <c r="W246" i="5"/>
  <c r="Q247" i="5"/>
  <c r="R247" i="5"/>
  <c r="S247" i="5"/>
  <c r="T247" i="5"/>
  <c r="V247" i="5"/>
  <c r="Z247" i="5" s="1"/>
  <c r="W247" i="5"/>
  <c r="Q248" i="5"/>
  <c r="R248" i="5"/>
  <c r="S248" i="5"/>
  <c r="T248" i="5"/>
  <c r="V248" i="5"/>
  <c r="W248" i="5"/>
  <c r="Q249" i="5"/>
  <c r="R249" i="5"/>
  <c r="S249" i="5"/>
  <c r="T249" i="5"/>
  <c r="V249" i="5"/>
  <c r="Z249" i="5" s="1"/>
  <c r="W249" i="5"/>
  <c r="Q250" i="5"/>
  <c r="R250" i="5"/>
  <c r="S250" i="5"/>
  <c r="T250" i="5"/>
  <c r="V250" i="5"/>
  <c r="AA250" i="5" s="1"/>
  <c r="W250" i="5"/>
  <c r="Q251" i="5"/>
  <c r="R251" i="5"/>
  <c r="S251" i="5"/>
  <c r="T251" i="5"/>
  <c r="V251" i="5"/>
  <c r="Z251" i="5" s="1"/>
  <c r="W251" i="5"/>
  <c r="Q252" i="5"/>
  <c r="R252" i="5"/>
  <c r="S252" i="5"/>
  <c r="T252" i="5"/>
  <c r="V252" i="5"/>
  <c r="W252" i="5"/>
  <c r="Q253" i="5"/>
  <c r="Y253" i="5" s="1"/>
  <c r="R253" i="5"/>
  <c r="S253" i="5"/>
  <c r="T253" i="5"/>
  <c r="V253" i="5"/>
  <c r="W253" i="5"/>
  <c r="Q254" i="5"/>
  <c r="R254" i="5"/>
  <c r="S254" i="5"/>
  <c r="T254" i="5"/>
  <c r="V254" i="5"/>
  <c r="AA254" i="5" s="1"/>
  <c r="W254" i="5"/>
  <c r="Q255" i="5"/>
  <c r="R255" i="5"/>
  <c r="S255" i="5"/>
  <c r="T255" i="5"/>
  <c r="V255" i="5"/>
  <c r="W255" i="5"/>
  <c r="Q256" i="5"/>
  <c r="R256" i="5"/>
  <c r="S256" i="5"/>
  <c r="T256" i="5"/>
  <c r="V256" i="5"/>
  <c r="Z256" i="5" s="1"/>
  <c r="W256" i="5"/>
  <c r="Q257" i="5"/>
  <c r="R257" i="5"/>
  <c r="S257" i="5"/>
  <c r="T257" i="5"/>
  <c r="V257" i="5"/>
  <c r="Z257" i="5" s="1"/>
  <c r="W257" i="5"/>
  <c r="Q258" i="5"/>
  <c r="R258" i="5"/>
  <c r="S258" i="5"/>
  <c r="T258" i="5"/>
  <c r="V258" i="5"/>
  <c r="AA258" i="5" s="1"/>
  <c r="W258" i="5"/>
  <c r="Q259" i="5"/>
  <c r="AI270" i="5" s="1"/>
  <c r="R259" i="5"/>
  <c r="S259" i="5"/>
  <c r="T259" i="5"/>
  <c r="V259" i="5"/>
  <c r="W259" i="5"/>
  <c r="Q260" i="5"/>
  <c r="R260" i="5"/>
  <c r="S260" i="5"/>
  <c r="T260" i="5"/>
  <c r="V260" i="5"/>
  <c r="W260" i="5"/>
  <c r="Q261" i="5"/>
  <c r="R261" i="5"/>
  <c r="S261" i="5"/>
  <c r="T261" i="5"/>
  <c r="V261" i="5"/>
  <c r="Z261" i="5" s="1"/>
  <c r="W261" i="5"/>
  <c r="Q262" i="5"/>
  <c r="R262" i="5"/>
  <c r="S262" i="5"/>
  <c r="T262" i="5"/>
  <c r="V262" i="5"/>
  <c r="AA262" i="5" s="1"/>
  <c r="W262" i="5"/>
  <c r="Q263" i="5"/>
  <c r="R263" i="5"/>
  <c r="S263" i="5"/>
  <c r="T263" i="5"/>
  <c r="V263" i="5"/>
  <c r="Z263" i="5" s="1"/>
  <c r="W263" i="5"/>
  <c r="Q264" i="5"/>
  <c r="R264" i="5"/>
  <c r="S264" i="5"/>
  <c r="T264" i="5"/>
  <c r="V264" i="5"/>
  <c r="W264" i="5"/>
  <c r="Z264" i="5" s="1"/>
  <c r="Q265" i="5"/>
  <c r="R265" i="5"/>
  <c r="S265" i="5"/>
  <c r="T265" i="5"/>
  <c r="V265" i="5"/>
  <c r="Z265" i="5" s="1"/>
  <c r="W265" i="5"/>
  <c r="Q266" i="5"/>
  <c r="R266" i="5"/>
  <c r="S266" i="5"/>
  <c r="T266" i="5"/>
  <c r="V266" i="5"/>
  <c r="W266" i="5"/>
  <c r="AA266" i="5" s="1"/>
  <c r="Q267" i="5"/>
  <c r="R267" i="5"/>
  <c r="S267" i="5"/>
  <c r="T267" i="5"/>
  <c r="V267" i="5"/>
  <c r="Z267" i="5" s="1"/>
  <c r="W267" i="5"/>
  <c r="Q268" i="5"/>
  <c r="R268" i="5"/>
  <c r="S268" i="5"/>
  <c r="T268" i="5"/>
  <c r="V268" i="5"/>
  <c r="W268" i="5"/>
  <c r="Q269" i="5"/>
  <c r="R269" i="5"/>
  <c r="S269" i="5"/>
  <c r="T269" i="5"/>
  <c r="V269" i="5"/>
  <c r="Z269" i="5" s="1"/>
  <c r="W269" i="5"/>
  <c r="Q270" i="5"/>
  <c r="R270" i="5"/>
  <c r="S270" i="5"/>
  <c r="T270" i="5"/>
  <c r="V270" i="5"/>
  <c r="W270" i="5"/>
  <c r="Q271" i="5"/>
  <c r="R271" i="5"/>
  <c r="S271" i="5"/>
  <c r="T271" i="5"/>
  <c r="V271" i="5"/>
  <c r="AA271" i="5" s="1"/>
  <c r="W271" i="5"/>
  <c r="Q272" i="5"/>
  <c r="R272" i="5"/>
  <c r="S272" i="5"/>
  <c r="T272" i="5"/>
  <c r="V272" i="5"/>
  <c r="W272" i="5"/>
  <c r="Z272" i="5" s="1"/>
  <c r="Q273" i="5"/>
  <c r="R273" i="5"/>
  <c r="S273" i="5"/>
  <c r="T273" i="5"/>
  <c r="V273" i="5"/>
  <c r="W273" i="5"/>
  <c r="Q274" i="5"/>
  <c r="R274" i="5"/>
  <c r="S274" i="5"/>
  <c r="T274" i="5"/>
  <c r="V274" i="5"/>
  <c r="W274" i="5"/>
  <c r="Q275" i="5"/>
  <c r="R275" i="5"/>
  <c r="S275" i="5"/>
  <c r="T275" i="5"/>
  <c r="V275" i="5"/>
  <c r="Z275" i="5" s="1"/>
  <c r="W275" i="5"/>
  <c r="Q276" i="5"/>
  <c r="R276" i="5"/>
  <c r="S276" i="5"/>
  <c r="T276" i="5"/>
  <c r="V276" i="5"/>
  <c r="W276" i="5"/>
  <c r="Z276" i="5" s="1"/>
  <c r="Q277" i="5"/>
  <c r="R277" i="5"/>
  <c r="S277" i="5"/>
  <c r="T277" i="5"/>
  <c r="V277" i="5"/>
  <c r="Z277" i="5" s="1"/>
  <c r="W277" i="5"/>
  <c r="Q278" i="5"/>
  <c r="R278" i="5"/>
  <c r="S278" i="5"/>
  <c r="T278" i="5"/>
  <c r="V278" i="5"/>
  <c r="W278" i="5"/>
  <c r="Q279" i="5"/>
  <c r="R279" i="5"/>
  <c r="S279" i="5"/>
  <c r="T279" i="5"/>
  <c r="V279" i="5"/>
  <c r="AA279" i="5" s="1"/>
  <c r="W279" i="5"/>
  <c r="Q280" i="5"/>
  <c r="R280" i="5"/>
  <c r="S280" i="5"/>
  <c r="T280" i="5"/>
  <c r="Y280" i="5" s="1"/>
  <c r="V280" i="5"/>
  <c r="W280" i="5"/>
  <c r="Z280" i="5" s="1"/>
  <c r="Q281" i="5"/>
  <c r="R281" i="5"/>
  <c r="AA281" i="5" s="1"/>
  <c r="S281" i="5"/>
  <c r="T281" i="5"/>
  <c r="V281" i="5"/>
  <c r="W281" i="5"/>
  <c r="Q282" i="5"/>
  <c r="R282" i="5"/>
  <c r="S282" i="5"/>
  <c r="T282" i="5"/>
  <c r="V282" i="5"/>
  <c r="Z282" i="5" s="1"/>
  <c r="W282" i="5"/>
  <c r="Q283" i="5"/>
  <c r="R283" i="5"/>
  <c r="S283" i="5"/>
  <c r="T283" i="5"/>
  <c r="V283" i="5"/>
  <c r="Z283" i="5" s="1"/>
  <c r="W283" i="5"/>
  <c r="Q284" i="5"/>
  <c r="R284" i="5"/>
  <c r="S284" i="5"/>
  <c r="T284" i="5"/>
  <c r="V284" i="5"/>
  <c r="W284" i="5"/>
  <c r="Q285" i="5"/>
  <c r="R285" i="5"/>
  <c r="S285" i="5"/>
  <c r="T285" i="5"/>
  <c r="V285" i="5"/>
  <c r="W285" i="5"/>
  <c r="Q286" i="5"/>
  <c r="R286" i="5"/>
  <c r="S286" i="5"/>
  <c r="T286" i="5"/>
  <c r="V286" i="5"/>
  <c r="W286" i="5"/>
  <c r="Q287" i="5"/>
  <c r="R287" i="5"/>
  <c r="S287" i="5"/>
  <c r="T287" i="5"/>
  <c r="V287" i="5"/>
  <c r="Z287" i="5" s="1"/>
  <c r="W287" i="5"/>
  <c r="Q288" i="5"/>
  <c r="R288" i="5"/>
  <c r="S288" i="5"/>
  <c r="T288" i="5"/>
  <c r="V288" i="5"/>
  <c r="W288" i="5"/>
  <c r="Q289" i="5"/>
  <c r="R289" i="5"/>
  <c r="S289" i="5"/>
  <c r="T289" i="5"/>
  <c r="V289" i="5"/>
  <c r="W289" i="5"/>
  <c r="Q290" i="5"/>
  <c r="R290" i="5"/>
  <c r="S290" i="5"/>
  <c r="T290" i="5"/>
  <c r="V290" i="5"/>
  <c r="Z290" i="5" s="1"/>
  <c r="W290" i="5"/>
  <c r="Q291" i="5"/>
  <c r="R291" i="5"/>
  <c r="S291" i="5"/>
  <c r="T291" i="5"/>
  <c r="V291" i="5"/>
  <c r="Z291" i="5" s="1"/>
  <c r="W291" i="5"/>
  <c r="Q292" i="5"/>
  <c r="R292" i="5"/>
  <c r="S292" i="5"/>
  <c r="Y292" i="5" s="1"/>
  <c r="T292" i="5"/>
  <c r="V292" i="5"/>
  <c r="W292" i="5"/>
  <c r="Q293" i="5"/>
  <c r="R293" i="5"/>
  <c r="S293" i="5"/>
  <c r="T293" i="5"/>
  <c r="V293" i="5"/>
  <c r="W293" i="5"/>
  <c r="Q294" i="5"/>
  <c r="R294" i="5"/>
  <c r="S294" i="5"/>
  <c r="T294" i="5"/>
  <c r="V294" i="5"/>
  <c r="W294" i="5"/>
  <c r="Q295" i="5"/>
  <c r="R295" i="5"/>
  <c r="S295" i="5"/>
  <c r="T295" i="5"/>
  <c r="V295" i="5"/>
  <c r="W295" i="5"/>
  <c r="Q296" i="5"/>
  <c r="R296" i="5"/>
  <c r="S296" i="5"/>
  <c r="T296" i="5"/>
  <c r="V296" i="5"/>
  <c r="W296" i="5"/>
  <c r="Q297" i="5"/>
  <c r="R297" i="5"/>
  <c r="S297" i="5"/>
  <c r="T297" i="5"/>
  <c r="V297" i="5"/>
  <c r="W297" i="5"/>
  <c r="Q298" i="5"/>
  <c r="R298" i="5"/>
  <c r="S298" i="5"/>
  <c r="T298" i="5"/>
  <c r="V298" i="5"/>
  <c r="Z298" i="5" s="1"/>
  <c r="W298" i="5"/>
  <c r="Q299" i="5"/>
  <c r="R299" i="5"/>
  <c r="S299" i="5"/>
  <c r="T299" i="5"/>
  <c r="V299" i="5"/>
  <c r="W299" i="5"/>
  <c r="Q300" i="5"/>
  <c r="R300" i="5"/>
  <c r="S300" i="5"/>
  <c r="T300" i="5"/>
  <c r="V300" i="5"/>
  <c r="W300" i="5"/>
  <c r="Q301" i="5"/>
  <c r="R301" i="5"/>
  <c r="S301" i="5"/>
  <c r="T301" i="5"/>
  <c r="V301" i="5"/>
  <c r="W301" i="5"/>
  <c r="Q302" i="5"/>
  <c r="R302" i="5"/>
  <c r="S302" i="5"/>
  <c r="T302" i="5"/>
  <c r="V302" i="5"/>
  <c r="W302" i="5"/>
  <c r="Q303" i="5"/>
  <c r="R303" i="5"/>
  <c r="S303" i="5"/>
  <c r="T303" i="5"/>
  <c r="V303" i="5"/>
  <c r="Z303" i="5" s="1"/>
  <c r="W303" i="5"/>
  <c r="Q304" i="5"/>
  <c r="R304" i="5"/>
  <c r="S304" i="5"/>
  <c r="T304" i="5"/>
  <c r="V304" i="5"/>
  <c r="W304" i="5"/>
  <c r="Q305" i="5"/>
  <c r="R305" i="5"/>
  <c r="AA305" i="5" s="1"/>
  <c r="S305" i="5"/>
  <c r="T305" i="5"/>
  <c r="V305" i="5"/>
  <c r="W305" i="5"/>
  <c r="Q306" i="5"/>
  <c r="R306" i="5"/>
  <c r="S306" i="5"/>
  <c r="T306" i="5"/>
  <c r="V306" i="5"/>
  <c r="AA306" i="5" s="1"/>
  <c r="W306" i="5"/>
  <c r="Q307" i="5"/>
  <c r="R307" i="5"/>
  <c r="S307" i="5"/>
  <c r="T307" i="5"/>
  <c r="V307" i="5"/>
  <c r="Z307" i="5" s="1"/>
  <c r="W307" i="5"/>
  <c r="Q308" i="5"/>
  <c r="R308" i="5"/>
  <c r="S308" i="5"/>
  <c r="T308" i="5"/>
  <c r="V308" i="5"/>
  <c r="W308" i="5"/>
  <c r="Q309" i="5"/>
  <c r="R309" i="5"/>
  <c r="S309" i="5"/>
  <c r="T309" i="5"/>
  <c r="V309" i="5"/>
  <c r="W309" i="5"/>
  <c r="Q310" i="5"/>
  <c r="R310" i="5"/>
  <c r="S310" i="5"/>
  <c r="T310" i="5"/>
  <c r="V310" i="5"/>
  <c r="Z310" i="5" s="1"/>
  <c r="W310" i="5"/>
  <c r="Q311" i="5"/>
  <c r="R311" i="5"/>
  <c r="S311" i="5"/>
  <c r="T311" i="5"/>
  <c r="V311" i="5"/>
  <c r="Z311" i="5" s="1"/>
  <c r="W311" i="5"/>
  <c r="Q312" i="5"/>
  <c r="R312" i="5"/>
  <c r="S312" i="5"/>
  <c r="Y312" i="5" s="1"/>
  <c r="T312" i="5"/>
  <c r="V312" i="5"/>
  <c r="W312" i="5"/>
  <c r="Q313" i="5"/>
  <c r="R313" i="5"/>
  <c r="S313" i="5"/>
  <c r="T313" i="5"/>
  <c r="V313" i="5"/>
  <c r="W313" i="5"/>
  <c r="Q314" i="5"/>
  <c r="R314" i="5"/>
  <c r="S314" i="5"/>
  <c r="T314" i="5"/>
  <c r="V314" i="5"/>
  <c r="W314" i="5"/>
  <c r="Q315" i="5"/>
  <c r="R315" i="5"/>
  <c r="S315" i="5"/>
  <c r="T315" i="5"/>
  <c r="V315" i="5"/>
  <c r="W315" i="5"/>
  <c r="Q316" i="5"/>
  <c r="R316" i="5"/>
  <c r="S316" i="5"/>
  <c r="T316" i="5"/>
  <c r="V316" i="5"/>
  <c r="W316" i="5"/>
  <c r="Q317" i="5"/>
  <c r="R317" i="5"/>
  <c r="Y317" i="5" s="1"/>
  <c r="S317" i="5"/>
  <c r="T317" i="5"/>
  <c r="V317" i="5"/>
  <c r="W317" i="5"/>
  <c r="Q318" i="5"/>
  <c r="R318" i="5"/>
  <c r="S318" i="5"/>
  <c r="T318" i="5"/>
  <c r="V318" i="5"/>
  <c r="Z318" i="5" s="1"/>
  <c r="W318" i="5"/>
  <c r="Q319" i="5"/>
  <c r="R319" i="5"/>
  <c r="S319" i="5"/>
  <c r="T319" i="5"/>
  <c r="V319" i="5"/>
  <c r="Z319" i="5" s="1"/>
  <c r="W319" i="5"/>
  <c r="Q320" i="5"/>
  <c r="R320" i="5"/>
  <c r="S320" i="5"/>
  <c r="T320" i="5"/>
  <c r="V320" i="5"/>
  <c r="W320" i="5"/>
  <c r="Q321" i="5"/>
  <c r="R321" i="5"/>
  <c r="Y321" i="5" s="1"/>
  <c r="S321" i="5"/>
  <c r="T321" i="5"/>
  <c r="V321" i="5"/>
  <c r="W321" i="5"/>
  <c r="Q322" i="5"/>
  <c r="R322" i="5"/>
  <c r="S322" i="5"/>
  <c r="T322" i="5"/>
  <c r="V322" i="5"/>
  <c r="W322" i="5"/>
  <c r="Q323" i="5"/>
  <c r="R323" i="5"/>
  <c r="AJ334" i="5" s="1"/>
  <c r="S323" i="5"/>
  <c r="T323" i="5"/>
  <c r="V323" i="5"/>
  <c r="W323" i="5"/>
  <c r="Q324" i="5"/>
  <c r="R324" i="5"/>
  <c r="S324" i="5"/>
  <c r="T324" i="5"/>
  <c r="V324" i="5"/>
  <c r="Z324" i="5" s="1"/>
  <c r="W324" i="5"/>
  <c r="Q325" i="5"/>
  <c r="R325" i="5"/>
  <c r="S325" i="5"/>
  <c r="T325" i="5"/>
  <c r="V325" i="5"/>
  <c r="W325" i="5"/>
  <c r="Q326" i="5"/>
  <c r="R326" i="5"/>
  <c r="S326" i="5"/>
  <c r="T326" i="5"/>
  <c r="V326" i="5"/>
  <c r="W326" i="5"/>
  <c r="Q327" i="5"/>
  <c r="R327" i="5"/>
  <c r="Y327" i="5" s="1"/>
  <c r="S327" i="5"/>
  <c r="T327" i="5"/>
  <c r="V327" i="5"/>
  <c r="Z327" i="5" s="1"/>
  <c r="W327" i="5"/>
  <c r="Q328" i="5"/>
  <c r="R328" i="5"/>
  <c r="S328" i="5"/>
  <c r="T328" i="5"/>
  <c r="V328" i="5"/>
  <c r="Z328" i="5" s="1"/>
  <c r="W328" i="5"/>
  <c r="Q329" i="5"/>
  <c r="R329" i="5"/>
  <c r="S329" i="5"/>
  <c r="T329" i="5"/>
  <c r="V329" i="5"/>
  <c r="W329" i="5"/>
  <c r="Q330" i="5"/>
  <c r="R330" i="5"/>
  <c r="S330" i="5"/>
  <c r="T330" i="5"/>
  <c r="V330" i="5"/>
  <c r="Z330" i="5" s="1"/>
  <c r="W330" i="5"/>
  <c r="Q331" i="5"/>
  <c r="R331" i="5"/>
  <c r="S331" i="5"/>
  <c r="T331" i="5"/>
  <c r="V331" i="5"/>
  <c r="W331" i="5"/>
  <c r="Q332" i="5"/>
  <c r="R332" i="5"/>
  <c r="S332" i="5"/>
  <c r="T332" i="5"/>
  <c r="V332" i="5"/>
  <c r="Z332" i="5" s="1"/>
  <c r="W332" i="5"/>
  <c r="Q333" i="5"/>
  <c r="R333" i="5"/>
  <c r="S333" i="5"/>
  <c r="T333" i="5"/>
  <c r="V333" i="5"/>
  <c r="W333" i="5"/>
  <c r="Q334" i="5"/>
  <c r="R334" i="5"/>
  <c r="S334" i="5"/>
  <c r="T334" i="5"/>
  <c r="V334" i="5"/>
  <c r="W334" i="5"/>
  <c r="Q335" i="5"/>
  <c r="R335" i="5"/>
  <c r="S335" i="5"/>
  <c r="T335" i="5"/>
  <c r="V335" i="5"/>
  <c r="W335" i="5"/>
  <c r="Q336" i="5"/>
  <c r="R336" i="5"/>
  <c r="S336" i="5"/>
  <c r="T336" i="5"/>
  <c r="V336" i="5"/>
  <c r="Z336" i="5" s="1"/>
  <c r="W336" i="5"/>
  <c r="Q337" i="5"/>
  <c r="R337" i="5"/>
  <c r="Y337" i="5" s="1"/>
  <c r="S337" i="5"/>
  <c r="T337" i="5"/>
  <c r="V337" i="5"/>
  <c r="W337" i="5"/>
  <c r="Q338" i="5"/>
  <c r="R338" i="5"/>
  <c r="S338" i="5"/>
  <c r="T338" i="5"/>
  <c r="V338" i="5"/>
  <c r="Z338" i="5" s="1"/>
  <c r="W338" i="5"/>
  <c r="Q339" i="5"/>
  <c r="R339" i="5"/>
  <c r="S339" i="5"/>
  <c r="T339" i="5"/>
  <c r="V339" i="5"/>
  <c r="W339" i="5"/>
  <c r="Q340" i="5"/>
  <c r="R340" i="5"/>
  <c r="S340" i="5"/>
  <c r="T340" i="5"/>
  <c r="V340" i="5"/>
  <c r="Z340" i="5" s="1"/>
  <c r="W340" i="5"/>
  <c r="Q341" i="5"/>
  <c r="R341" i="5"/>
  <c r="S341" i="5"/>
  <c r="T341" i="5"/>
  <c r="V341" i="5"/>
  <c r="W341" i="5"/>
  <c r="Q342" i="5"/>
  <c r="R342" i="5"/>
  <c r="S342" i="5"/>
  <c r="Y342" i="5" s="1"/>
  <c r="T342" i="5"/>
  <c r="V342" i="5"/>
  <c r="Z342" i="5" s="1"/>
  <c r="W342" i="5"/>
  <c r="Q343" i="5"/>
  <c r="R343" i="5"/>
  <c r="S343" i="5"/>
  <c r="T343" i="5"/>
  <c r="V343" i="5"/>
  <c r="Z343" i="5" s="1"/>
  <c r="W343" i="5"/>
  <c r="Q344" i="5"/>
  <c r="R344" i="5"/>
  <c r="S344" i="5"/>
  <c r="T344" i="5"/>
  <c r="V344" i="5"/>
  <c r="W344" i="5"/>
  <c r="E2" i="6"/>
  <c r="E3" i="6"/>
  <c r="E4" i="6"/>
  <c r="E5" i="6"/>
  <c r="E6" i="6"/>
  <c r="E7" i="6"/>
  <c r="E8" i="6"/>
  <c r="E9" i="6"/>
  <c r="E10" i="6"/>
  <c r="E11" i="6"/>
  <c r="E12" i="6"/>
  <c r="E13" i="6"/>
  <c r="E14" i="6"/>
  <c r="E15" i="6"/>
  <c r="E16" i="6"/>
  <c r="E17" i="6"/>
  <c r="E18" i="6"/>
  <c r="J18" i="6"/>
  <c r="E19" i="6"/>
  <c r="J19" i="6"/>
  <c r="E20" i="6"/>
  <c r="E21" i="6"/>
  <c r="J21" i="6"/>
  <c r="E22" i="6"/>
  <c r="E23" i="6"/>
  <c r="J23" i="6"/>
  <c r="E24" i="6"/>
  <c r="J24" i="6"/>
  <c r="E25" i="6"/>
  <c r="E26" i="6"/>
  <c r="J26" i="6"/>
  <c r="E27" i="6"/>
  <c r="E28" i="6"/>
  <c r="E29" i="6"/>
  <c r="E30" i="6"/>
  <c r="E31" i="6"/>
  <c r="J31" i="6"/>
  <c r="E32" i="6"/>
  <c r="J32" i="6"/>
  <c r="E33" i="6"/>
  <c r="J33" i="6"/>
  <c r="E34" i="6"/>
  <c r="E35" i="6"/>
  <c r="E36" i="6"/>
  <c r="E37" i="6"/>
  <c r="E38" i="6"/>
  <c r="J38" i="6"/>
  <c r="E39" i="6"/>
  <c r="J39" i="6"/>
  <c r="E40" i="6"/>
  <c r="E41" i="6"/>
  <c r="E42" i="6"/>
  <c r="E43" i="6"/>
  <c r="E44" i="6"/>
  <c r="E45" i="6"/>
  <c r="J45" i="6"/>
  <c r="E46" i="6"/>
  <c r="E47" i="6"/>
  <c r="E48" i="6"/>
  <c r="J48" i="6"/>
  <c r="E49" i="6"/>
  <c r="E50" i="6"/>
  <c r="J50" i="6"/>
  <c r="E51" i="6"/>
  <c r="E52" i="6"/>
  <c r="E53" i="6"/>
  <c r="J53" i="6"/>
  <c r="E54" i="6"/>
  <c r="E55" i="6"/>
  <c r="E56" i="6"/>
  <c r="J56" i="6"/>
  <c r="E57" i="6"/>
  <c r="J57" i="6"/>
  <c r="E58" i="6"/>
  <c r="E59" i="6"/>
  <c r="E60" i="6"/>
  <c r="E61" i="6"/>
  <c r="E62" i="6"/>
  <c r="J62" i="6"/>
  <c r="E63" i="6"/>
  <c r="J63" i="6"/>
  <c r="E64" i="6"/>
  <c r="E65" i="6"/>
  <c r="E66" i="6"/>
  <c r="E67" i="6"/>
  <c r="J67" i="6"/>
  <c r="E68" i="6"/>
  <c r="E69" i="6"/>
  <c r="J69" i="6"/>
  <c r="E70" i="6"/>
  <c r="E71" i="6"/>
  <c r="E72" i="6"/>
  <c r="J72" i="6"/>
  <c r="E73" i="6"/>
  <c r="E74" i="6"/>
  <c r="J74" i="6"/>
  <c r="E75" i="6"/>
  <c r="E76" i="6"/>
  <c r="E77" i="6"/>
  <c r="E78" i="6"/>
  <c r="E79" i="6"/>
  <c r="E80" i="6"/>
  <c r="J80" i="6"/>
  <c r="E81" i="6"/>
  <c r="J81" i="6"/>
  <c r="E82" i="6"/>
  <c r="E83" i="6"/>
  <c r="E84" i="6"/>
  <c r="E85" i="6"/>
  <c r="E86" i="6"/>
  <c r="J86" i="6"/>
  <c r="E87" i="6"/>
  <c r="J87" i="6"/>
  <c r="E88" i="6"/>
  <c r="E89" i="6"/>
  <c r="J89" i="6"/>
  <c r="E90" i="6"/>
  <c r="E91" i="6"/>
  <c r="E92" i="6"/>
  <c r="E93" i="6"/>
  <c r="J93" i="6"/>
  <c r="E94" i="6"/>
  <c r="E95" i="6"/>
  <c r="J95" i="6"/>
  <c r="E96" i="6"/>
  <c r="J96" i="6"/>
  <c r="E97" i="6"/>
  <c r="E98" i="6"/>
  <c r="J98" i="6"/>
  <c r="E99" i="6"/>
  <c r="E100" i="6"/>
  <c r="E101" i="6"/>
  <c r="J101" i="6"/>
  <c r="E102" i="6"/>
  <c r="E103" i="6"/>
  <c r="E104" i="6"/>
  <c r="J104" i="6"/>
  <c r="E105" i="6"/>
  <c r="J105" i="6"/>
  <c r="E106" i="6"/>
  <c r="E107" i="6"/>
  <c r="E108" i="6"/>
  <c r="E109" i="6"/>
  <c r="E110" i="6"/>
  <c r="J110" i="6"/>
  <c r="E111" i="6"/>
  <c r="J111" i="6"/>
  <c r="E112" i="6"/>
  <c r="E113" i="6"/>
  <c r="E114" i="6"/>
  <c r="E115" i="6"/>
  <c r="J115" i="6"/>
  <c r="E116" i="6"/>
  <c r="E117" i="6"/>
  <c r="J117" i="6"/>
  <c r="E118" i="6"/>
  <c r="E119" i="6"/>
  <c r="J119" i="6"/>
  <c r="E120" i="6"/>
  <c r="J120" i="6"/>
  <c r="E121" i="6"/>
  <c r="E122" i="6"/>
  <c r="J122" i="6"/>
  <c r="E123" i="6"/>
  <c r="E124" i="6"/>
  <c r="E125" i="6"/>
  <c r="E126" i="6"/>
  <c r="E127" i="6"/>
  <c r="J127" i="6"/>
  <c r="E128" i="6"/>
  <c r="J128" i="6"/>
  <c r="E129" i="6"/>
  <c r="J129" i="6"/>
  <c r="E130" i="6"/>
  <c r="E131" i="6"/>
  <c r="E132" i="6"/>
  <c r="E133" i="6"/>
  <c r="E134" i="6"/>
  <c r="J134" i="6"/>
  <c r="E135" i="6"/>
  <c r="J135" i="6"/>
  <c r="E136" i="6"/>
  <c r="E137" i="6"/>
  <c r="J137" i="6"/>
  <c r="E138" i="6"/>
  <c r="E139" i="6"/>
  <c r="E140" i="6"/>
  <c r="E141" i="6"/>
  <c r="J141" i="6"/>
  <c r="E142" i="6"/>
  <c r="E143" i="6"/>
  <c r="E144" i="6"/>
  <c r="J144" i="6"/>
  <c r="E145" i="6"/>
  <c r="E146" i="6"/>
  <c r="J146" i="6"/>
  <c r="E147" i="6"/>
  <c r="E148" i="6"/>
  <c r="E149" i="6"/>
  <c r="J149" i="6"/>
  <c r="E150" i="6"/>
  <c r="E151" i="6"/>
  <c r="E152" i="6"/>
  <c r="J152" i="6"/>
  <c r="D6" i="5"/>
  <c r="K6" i="5"/>
  <c r="D7" i="5"/>
  <c r="L7" i="5"/>
  <c r="Q13" i="5"/>
  <c r="R13" i="5"/>
  <c r="S13" i="5"/>
  <c r="T13" i="5"/>
  <c r="V13" i="5"/>
  <c r="Z13" i="5" s="1"/>
  <c r="W13" i="5"/>
  <c r="Q14" i="5"/>
  <c r="R14" i="5"/>
  <c r="S14" i="5"/>
  <c r="T14" i="5"/>
  <c r="V14" i="5"/>
  <c r="Z14" i="5" s="1"/>
  <c r="W14" i="5"/>
  <c r="Q15" i="5"/>
  <c r="R15" i="5"/>
  <c r="S15" i="5"/>
  <c r="Y15" i="5" s="1"/>
  <c r="T15" i="5"/>
  <c r="V15" i="5"/>
  <c r="W15" i="5"/>
  <c r="Q16" i="5"/>
  <c r="R16" i="5"/>
  <c r="S16" i="5"/>
  <c r="T16" i="5"/>
  <c r="V16" i="5"/>
  <c r="W16" i="5"/>
  <c r="Q17" i="5"/>
  <c r="R17" i="5"/>
  <c r="S17" i="5"/>
  <c r="AK28" i="5" s="1"/>
  <c r="T17" i="5"/>
  <c r="V17" i="5"/>
  <c r="W17" i="5"/>
  <c r="V18" i="5"/>
  <c r="W18" i="5"/>
  <c r="V19" i="5"/>
  <c r="Z19" i="5" s="1"/>
  <c r="W19" i="5"/>
  <c r="V20" i="5"/>
  <c r="Z20" i="5" s="1"/>
  <c r="W20" i="5"/>
  <c r="V21" i="5"/>
  <c r="W21" i="5"/>
  <c r="Z21" i="5" s="1"/>
  <c r="V22" i="5"/>
  <c r="W22" i="5"/>
  <c r="V23" i="5"/>
  <c r="W23" i="5"/>
  <c r="V24" i="5"/>
  <c r="W24" i="5"/>
  <c r="Z24" i="5"/>
  <c r="Q18" i="5"/>
  <c r="R18" i="5"/>
  <c r="S18" i="5"/>
  <c r="T18" i="5"/>
  <c r="Q19" i="5"/>
  <c r="R19" i="5"/>
  <c r="AJ24" i="5" s="1"/>
  <c r="S19" i="5"/>
  <c r="T19" i="5"/>
  <c r="Q20" i="5"/>
  <c r="R20" i="5"/>
  <c r="S20" i="5"/>
  <c r="T20" i="5"/>
  <c r="Q21" i="5"/>
  <c r="R21" i="5"/>
  <c r="S21" i="5"/>
  <c r="T21" i="5"/>
  <c r="V25" i="5"/>
  <c r="W25" i="5"/>
  <c r="Z25" i="5" s="1"/>
  <c r="Q22" i="5"/>
  <c r="Y22" i="5" s="1"/>
  <c r="R22" i="5"/>
  <c r="S22" i="5"/>
  <c r="T22" i="5"/>
  <c r="AD22" i="5"/>
  <c r="AE22" i="5"/>
  <c r="AF22" i="5"/>
  <c r="Q23" i="5"/>
  <c r="R23" i="5"/>
  <c r="S23" i="5"/>
  <c r="T23" i="5"/>
  <c r="AD23" i="5"/>
  <c r="AE23" i="5"/>
  <c r="AF23" i="5"/>
  <c r="Q24" i="5"/>
  <c r="R24" i="5"/>
  <c r="S24" i="5"/>
  <c r="T24" i="5"/>
  <c r="Y24" i="5" s="1"/>
  <c r="AC24" i="5"/>
  <c r="Q25" i="5"/>
  <c r="R25" i="5"/>
  <c r="S25" i="5"/>
  <c r="T25" i="5"/>
  <c r="AC25" i="5"/>
  <c r="Q26" i="5"/>
  <c r="R26" i="5"/>
  <c r="S26" i="5"/>
  <c r="T26" i="5"/>
  <c r="V26" i="5"/>
  <c r="W26" i="5"/>
  <c r="AC26" i="5"/>
  <c r="Q27" i="5"/>
  <c r="R27" i="5"/>
  <c r="S27" i="5"/>
  <c r="T27" i="5"/>
  <c r="V27" i="5"/>
  <c r="Z27" i="5" s="1"/>
  <c r="W27" i="5"/>
  <c r="AC27" i="5"/>
  <c r="Q28" i="5"/>
  <c r="R28" i="5"/>
  <c r="S28" i="5"/>
  <c r="T28" i="5"/>
  <c r="V28" i="5"/>
  <c r="Z28" i="5"/>
  <c r="W28" i="5"/>
  <c r="AC28" i="5"/>
  <c r="Q29" i="5"/>
  <c r="R29" i="5"/>
  <c r="AJ35" i="5" s="1"/>
  <c r="S29" i="5"/>
  <c r="T29" i="5"/>
  <c r="V29" i="5"/>
  <c r="W29" i="5"/>
  <c r="AC29" i="5"/>
  <c r="Q30" i="5"/>
  <c r="Y30" i="5" s="1"/>
  <c r="R30" i="5"/>
  <c r="S30" i="5"/>
  <c r="T30" i="5"/>
  <c r="V30" i="5"/>
  <c r="W30" i="5"/>
  <c r="AC30" i="5"/>
  <c r="Q31" i="5"/>
  <c r="R31" i="5"/>
  <c r="S31" i="5"/>
  <c r="T31" i="5"/>
  <c r="V31" i="5"/>
  <c r="W31" i="5"/>
  <c r="Z31" i="5" s="1"/>
  <c r="AC31" i="5"/>
  <c r="Q32" i="5"/>
  <c r="R32" i="5"/>
  <c r="S32" i="5"/>
  <c r="T32" i="5"/>
  <c r="V32" i="5"/>
  <c r="Z32" i="5" s="1"/>
  <c r="W32" i="5"/>
  <c r="AC32" i="5"/>
  <c r="Q33" i="5"/>
  <c r="R33" i="5"/>
  <c r="S33" i="5"/>
  <c r="T33" i="5"/>
  <c r="V33" i="5"/>
  <c r="W33" i="5"/>
  <c r="AC33" i="5"/>
  <c r="Q34" i="5"/>
  <c r="R34" i="5"/>
  <c r="S34" i="5"/>
  <c r="T34" i="5"/>
  <c r="V34" i="5"/>
  <c r="Z34" i="5" s="1"/>
  <c r="W34" i="5"/>
  <c r="V35" i="5"/>
  <c r="W35" i="5"/>
  <c r="AC34" i="5"/>
  <c r="Q35" i="5"/>
  <c r="R35" i="5"/>
  <c r="AA35" i="5" s="1"/>
  <c r="S35" i="5"/>
  <c r="T35" i="5"/>
  <c r="AC35" i="5"/>
  <c r="Q36" i="5"/>
  <c r="R36" i="5"/>
  <c r="S36" i="5"/>
  <c r="T36" i="5"/>
  <c r="V36" i="5"/>
  <c r="W36" i="5"/>
  <c r="V37" i="5"/>
  <c r="Z37" i="5" s="1"/>
  <c r="W37" i="5"/>
  <c r="V38" i="5"/>
  <c r="W38" i="5"/>
  <c r="V39" i="5"/>
  <c r="W39" i="5"/>
  <c r="V40" i="5"/>
  <c r="Z40" i="5" s="1"/>
  <c r="W40" i="5"/>
  <c r="V41" i="5"/>
  <c r="W41" i="5"/>
  <c r="V42" i="5"/>
  <c r="W42" i="5"/>
  <c r="V43" i="5"/>
  <c r="W43" i="5"/>
  <c r="V44" i="5"/>
  <c r="Z44" i="5" s="1"/>
  <c r="W44" i="5"/>
  <c r="V45" i="5"/>
  <c r="W45" i="5"/>
  <c r="V46" i="5"/>
  <c r="Z46" i="5" s="1"/>
  <c r="W46" i="5"/>
  <c r="V47" i="5"/>
  <c r="W47" i="5"/>
  <c r="Z47" i="5"/>
  <c r="AC36" i="5"/>
  <c r="Q37" i="5"/>
  <c r="Y37" i="5" s="1"/>
  <c r="R37" i="5"/>
  <c r="S37" i="5"/>
  <c r="T37" i="5"/>
  <c r="AC37" i="5"/>
  <c r="Q38" i="5"/>
  <c r="R38" i="5"/>
  <c r="S38" i="5"/>
  <c r="T38" i="5"/>
  <c r="V48" i="5"/>
  <c r="W48" i="5"/>
  <c r="V49" i="5"/>
  <c r="W49" i="5"/>
  <c r="AC38" i="5"/>
  <c r="Q39" i="5"/>
  <c r="R39" i="5"/>
  <c r="S39" i="5"/>
  <c r="T39" i="5"/>
  <c r="AC39" i="5"/>
  <c r="Q40" i="5"/>
  <c r="R40" i="5"/>
  <c r="S40" i="5"/>
  <c r="T40" i="5"/>
  <c r="V50" i="5"/>
  <c r="W50" i="5"/>
  <c r="V51" i="5"/>
  <c r="W51" i="5"/>
  <c r="AC40" i="5"/>
  <c r="Q41" i="5"/>
  <c r="R41" i="5"/>
  <c r="S41" i="5"/>
  <c r="AK51" i="5" s="1"/>
  <c r="T41" i="5"/>
  <c r="AC41" i="5"/>
  <c r="Q42" i="5"/>
  <c r="R42" i="5"/>
  <c r="S42" i="5"/>
  <c r="T42" i="5"/>
  <c r="V52" i="5"/>
  <c r="W52" i="5"/>
  <c r="V53" i="5"/>
  <c r="W53" i="5"/>
  <c r="AC42" i="5"/>
  <c r="Q43" i="5"/>
  <c r="R43" i="5"/>
  <c r="S43" i="5"/>
  <c r="T43" i="5"/>
  <c r="AC43" i="5"/>
  <c r="Q44" i="5"/>
  <c r="R44" i="5"/>
  <c r="S44" i="5"/>
  <c r="T44" i="5"/>
  <c r="V54" i="5"/>
  <c r="W54" i="5"/>
  <c r="Z54" i="5" s="1"/>
  <c r="V55" i="5"/>
  <c r="Z55" i="5" s="1"/>
  <c r="W55" i="5"/>
  <c r="AC44" i="5"/>
  <c r="Q45" i="5"/>
  <c r="R45" i="5"/>
  <c r="S45" i="5"/>
  <c r="T45" i="5"/>
  <c r="AL56" i="5" s="1"/>
  <c r="AC45" i="5"/>
  <c r="Q46" i="5"/>
  <c r="R46" i="5"/>
  <c r="S46" i="5"/>
  <c r="T46" i="5"/>
  <c r="V56" i="5"/>
  <c r="W56" i="5"/>
  <c r="V57" i="5"/>
  <c r="Z57" i="5" s="1"/>
  <c r="W57" i="5"/>
  <c r="AC46" i="5"/>
  <c r="Q47" i="5"/>
  <c r="R47" i="5"/>
  <c r="S47" i="5"/>
  <c r="T47" i="5"/>
  <c r="AC47" i="5"/>
  <c r="Q48" i="5"/>
  <c r="R48" i="5"/>
  <c r="S48" i="5"/>
  <c r="T48" i="5"/>
  <c r="V58" i="5"/>
  <c r="W58" i="5"/>
  <c r="V59" i="5"/>
  <c r="W59" i="5"/>
  <c r="AC48" i="5"/>
  <c r="Q49" i="5"/>
  <c r="R49" i="5"/>
  <c r="S49" i="5"/>
  <c r="T49" i="5"/>
  <c r="AC49" i="5"/>
  <c r="Q50" i="5"/>
  <c r="AI58" i="5" s="1"/>
  <c r="R50" i="5"/>
  <c r="S50" i="5"/>
  <c r="T50" i="5"/>
  <c r="V60" i="5"/>
  <c r="W60" i="5"/>
  <c r="V61" i="5"/>
  <c r="Z61" i="5" s="1"/>
  <c r="W61" i="5"/>
  <c r="AC50" i="5"/>
  <c r="Q51" i="5"/>
  <c r="R51" i="5"/>
  <c r="S51" i="5"/>
  <c r="T51" i="5"/>
  <c r="AC51" i="5"/>
  <c r="Q52" i="5"/>
  <c r="R52" i="5"/>
  <c r="S52" i="5"/>
  <c r="T52" i="5"/>
  <c r="AC52" i="5"/>
  <c r="Q53" i="5"/>
  <c r="R53" i="5"/>
  <c r="S53" i="5"/>
  <c r="T53" i="5"/>
  <c r="AC53" i="5"/>
  <c r="Q54" i="5"/>
  <c r="R54" i="5"/>
  <c r="S54" i="5"/>
  <c r="T54" i="5"/>
  <c r="AC54" i="5"/>
  <c r="Q55" i="5"/>
  <c r="R55" i="5"/>
  <c r="S55" i="5"/>
  <c r="T55" i="5"/>
  <c r="AC55" i="5"/>
  <c r="Q56" i="5"/>
  <c r="R56" i="5"/>
  <c r="S56" i="5"/>
  <c r="T56" i="5"/>
  <c r="AC56" i="5"/>
  <c r="Q57" i="5"/>
  <c r="R57" i="5"/>
  <c r="S57" i="5"/>
  <c r="T57" i="5"/>
  <c r="AC57" i="5"/>
  <c r="Q58" i="5"/>
  <c r="R58" i="5"/>
  <c r="S58" i="5"/>
  <c r="T58" i="5"/>
  <c r="AC58" i="5"/>
  <c r="Q59" i="5"/>
  <c r="R59" i="5"/>
  <c r="S59" i="5"/>
  <c r="T59" i="5"/>
  <c r="AC59" i="5"/>
  <c r="Q60" i="5"/>
  <c r="R60" i="5"/>
  <c r="S60" i="5"/>
  <c r="T60" i="5"/>
  <c r="AC60" i="5"/>
  <c r="Q61" i="5"/>
  <c r="R61" i="5"/>
  <c r="S61" i="5"/>
  <c r="T61" i="5"/>
  <c r="AC61" i="5"/>
  <c r="Q62" i="5"/>
  <c r="R62" i="5"/>
  <c r="S62" i="5"/>
  <c r="T62" i="5"/>
  <c r="V62" i="5"/>
  <c r="Z62" i="5" s="1"/>
  <c r="W62" i="5"/>
  <c r="AC62" i="5"/>
  <c r="Q63" i="5"/>
  <c r="R63" i="5"/>
  <c r="S63" i="5"/>
  <c r="T63" i="5"/>
  <c r="V63" i="5"/>
  <c r="W63" i="5"/>
  <c r="AC63" i="5"/>
  <c r="Q64" i="5"/>
  <c r="R64" i="5"/>
  <c r="S64" i="5"/>
  <c r="T64" i="5"/>
  <c r="V64" i="5"/>
  <c r="W64" i="5"/>
  <c r="AC64" i="5"/>
  <c r="Q65" i="5"/>
  <c r="R65" i="5"/>
  <c r="S65" i="5"/>
  <c r="T65" i="5"/>
  <c r="V65" i="5"/>
  <c r="W65" i="5"/>
  <c r="Q66" i="5"/>
  <c r="R66" i="5"/>
  <c r="S66" i="5"/>
  <c r="T66" i="5"/>
  <c r="Q67" i="5"/>
  <c r="R67" i="5"/>
  <c r="S67" i="5"/>
  <c r="T67" i="5"/>
  <c r="Q68" i="5"/>
  <c r="R68" i="5"/>
  <c r="S68" i="5"/>
  <c r="T68" i="5"/>
  <c r="Q69" i="5"/>
  <c r="R69" i="5"/>
  <c r="S69" i="5"/>
  <c r="T69" i="5"/>
  <c r="Q70" i="5"/>
  <c r="R70" i="5"/>
  <c r="S70" i="5"/>
  <c r="T70" i="5"/>
  <c r="Q71" i="5"/>
  <c r="R71" i="5"/>
  <c r="S71" i="5"/>
  <c r="T71" i="5"/>
  <c r="Q72" i="5"/>
  <c r="R72" i="5"/>
  <c r="S72" i="5"/>
  <c r="T72" i="5"/>
  <c r="Q73" i="5"/>
  <c r="Y73" i="5" s="1"/>
  <c r="R73" i="5"/>
  <c r="S73" i="5"/>
  <c r="T73" i="5"/>
  <c r="Q74" i="5"/>
  <c r="R74" i="5"/>
  <c r="S74" i="5"/>
  <c r="T74" i="5"/>
  <c r="Q75" i="5"/>
  <c r="R75" i="5"/>
  <c r="S75" i="5"/>
  <c r="T75" i="5"/>
  <c r="AC65" i="5"/>
  <c r="V66" i="5"/>
  <c r="W66" i="5"/>
  <c r="AC66" i="5"/>
  <c r="V67" i="5"/>
  <c r="W67" i="5"/>
  <c r="Q76" i="5"/>
  <c r="R76" i="5"/>
  <c r="S76" i="5"/>
  <c r="T76" i="5"/>
  <c r="Q77" i="5"/>
  <c r="R77" i="5"/>
  <c r="S77" i="5"/>
  <c r="T77" i="5"/>
  <c r="AC67" i="5"/>
  <c r="V68" i="5"/>
  <c r="W68" i="5"/>
  <c r="AC68" i="5"/>
  <c r="V69" i="5"/>
  <c r="W69" i="5"/>
  <c r="Q78" i="5"/>
  <c r="R78" i="5"/>
  <c r="S78" i="5"/>
  <c r="T78" i="5"/>
  <c r="Q79" i="5"/>
  <c r="Y79" i="5" s="1"/>
  <c r="R79" i="5"/>
  <c r="S79" i="5"/>
  <c r="T79" i="5"/>
  <c r="AC69" i="5"/>
  <c r="V70" i="5"/>
  <c r="W70" i="5"/>
  <c r="AC70" i="5"/>
  <c r="V71" i="5"/>
  <c r="W71" i="5"/>
  <c r="Q80" i="5"/>
  <c r="R80" i="5"/>
  <c r="S80" i="5"/>
  <c r="T80" i="5"/>
  <c r="Q81" i="5"/>
  <c r="R81" i="5"/>
  <c r="S81" i="5"/>
  <c r="T81" i="5"/>
  <c r="AC71" i="5"/>
  <c r="V72" i="5"/>
  <c r="Z72" i="5" s="1"/>
  <c r="W72" i="5"/>
  <c r="AC72" i="5"/>
  <c r="V73" i="5"/>
  <c r="W73" i="5"/>
  <c r="Q82" i="5"/>
  <c r="R82" i="5"/>
  <c r="S82" i="5"/>
  <c r="T82" i="5"/>
  <c r="Q83" i="5"/>
  <c r="R83" i="5"/>
  <c r="S83" i="5"/>
  <c r="T83" i="5"/>
  <c r="AC73" i="5"/>
  <c r="V74" i="5"/>
  <c r="W74" i="5"/>
  <c r="Z74" i="5" s="1"/>
  <c r="AC74" i="5"/>
  <c r="V75" i="5"/>
  <c r="Z75" i="5" s="1"/>
  <c r="W75" i="5"/>
  <c r="Q84" i="5"/>
  <c r="R84" i="5"/>
  <c r="S84" i="5"/>
  <c r="T84" i="5"/>
  <c r="Q85" i="5"/>
  <c r="R85" i="5"/>
  <c r="S85" i="5"/>
  <c r="T85" i="5"/>
  <c r="AC75" i="5"/>
  <c r="V76" i="5"/>
  <c r="W76" i="5"/>
  <c r="AC76" i="5"/>
  <c r="V77" i="5"/>
  <c r="W77" i="5"/>
  <c r="Q86" i="5"/>
  <c r="R86" i="5"/>
  <c r="S86" i="5"/>
  <c r="T86" i="5"/>
  <c r="AA86" i="5" s="1"/>
  <c r="Q87" i="5"/>
  <c r="R87" i="5"/>
  <c r="S87" i="5"/>
  <c r="T87" i="5"/>
  <c r="AC77" i="5"/>
  <c r="V78" i="5"/>
  <c r="W78" i="5"/>
  <c r="AC78" i="5"/>
  <c r="V79" i="5"/>
  <c r="W79" i="5"/>
  <c r="Q88" i="5"/>
  <c r="R88" i="5"/>
  <c r="S88" i="5"/>
  <c r="T88" i="5"/>
  <c r="Q89" i="5"/>
  <c r="R89" i="5"/>
  <c r="S89" i="5"/>
  <c r="T89" i="5"/>
  <c r="AC79" i="5"/>
  <c r="V80" i="5"/>
  <c r="W80" i="5"/>
  <c r="AC80" i="5"/>
  <c r="V81" i="5"/>
  <c r="W81" i="5"/>
  <c r="AA81" i="5" s="1"/>
  <c r="Q90" i="5"/>
  <c r="R90" i="5"/>
  <c r="S90" i="5"/>
  <c r="T90" i="5"/>
  <c r="Q91" i="5"/>
  <c r="R91" i="5"/>
  <c r="S91" i="5"/>
  <c r="T91" i="5"/>
  <c r="AC81" i="5"/>
  <c r="V82" i="5"/>
  <c r="W82" i="5"/>
  <c r="Z82" i="5" s="1"/>
  <c r="AC82" i="5"/>
  <c r="V83" i="5"/>
  <c r="W83" i="5"/>
  <c r="Q92" i="5"/>
  <c r="R92" i="5"/>
  <c r="S92" i="5"/>
  <c r="T92" i="5"/>
  <c r="Q93" i="5"/>
  <c r="R93" i="5"/>
  <c r="S93" i="5"/>
  <c r="T93" i="5"/>
  <c r="AC83" i="5"/>
  <c r="V84" i="5"/>
  <c r="W84" i="5"/>
  <c r="AC84" i="5"/>
  <c r="V85" i="5"/>
  <c r="W85" i="5"/>
  <c r="Q94" i="5"/>
  <c r="R94" i="5"/>
  <c r="S94" i="5"/>
  <c r="T94" i="5"/>
  <c r="Q95" i="5"/>
  <c r="R95" i="5"/>
  <c r="S95" i="5"/>
  <c r="AK104" i="5" s="1"/>
  <c r="T95" i="5"/>
  <c r="AC85" i="5"/>
  <c r="V86" i="5"/>
  <c r="W86" i="5"/>
  <c r="AC86" i="5"/>
  <c r="V87" i="5"/>
  <c r="W87" i="5"/>
  <c r="Q96" i="5"/>
  <c r="R96" i="5"/>
  <c r="S96" i="5"/>
  <c r="T96" i="5"/>
  <c r="Q97" i="5"/>
  <c r="R97" i="5"/>
  <c r="S97" i="5"/>
  <c r="T97" i="5"/>
  <c r="AC87" i="5"/>
  <c r="V88" i="5"/>
  <c r="W88" i="5"/>
  <c r="AC88" i="5"/>
  <c r="V89" i="5"/>
  <c r="W89" i="5"/>
  <c r="Z89" i="5" s="1"/>
  <c r="Q98" i="5"/>
  <c r="R98" i="5"/>
  <c r="S98" i="5"/>
  <c r="T98" i="5"/>
  <c r="Q99" i="5"/>
  <c r="R99" i="5"/>
  <c r="AJ106" i="5" s="1"/>
  <c r="S99" i="5"/>
  <c r="T99" i="5"/>
  <c r="AC89" i="5"/>
  <c r="V90" i="5"/>
  <c r="W90" i="5"/>
  <c r="Z90" i="5"/>
  <c r="AC90" i="5"/>
  <c r="V91" i="5"/>
  <c r="W91" i="5"/>
  <c r="Q100" i="5"/>
  <c r="R100" i="5"/>
  <c r="S100" i="5"/>
  <c r="T100" i="5"/>
  <c r="Q101" i="5"/>
  <c r="AA101" i="5" s="1"/>
  <c r="R101" i="5"/>
  <c r="S101" i="5"/>
  <c r="T101" i="5"/>
  <c r="AC91" i="5"/>
  <c r="V92" i="5"/>
  <c r="W92" i="5"/>
  <c r="AC92" i="5"/>
  <c r="V93" i="5"/>
  <c r="Z93" i="5" s="1"/>
  <c r="W93" i="5"/>
  <c r="Q102" i="5"/>
  <c r="R102" i="5"/>
  <c r="S102" i="5"/>
  <c r="T102" i="5"/>
  <c r="Q103" i="5"/>
  <c r="R103" i="5"/>
  <c r="S103" i="5"/>
  <c r="T103" i="5"/>
  <c r="AC93" i="5"/>
  <c r="V94" i="5"/>
  <c r="W94" i="5"/>
  <c r="AC94" i="5"/>
  <c r="V95" i="5"/>
  <c r="Z95" i="5" s="1"/>
  <c r="W95" i="5"/>
  <c r="Q104" i="5"/>
  <c r="R104" i="5"/>
  <c r="S104" i="5"/>
  <c r="T104" i="5"/>
  <c r="Q105" i="5"/>
  <c r="R105" i="5"/>
  <c r="S105" i="5"/>
  <c r="T105" i="5"/>
  <c r="AC95" i="5"/>
  <c r="V96" i="5"/>
  <c r="Z96" i="5" s="1"/>
  <c r="W96" i="5"/>
  <c r="AC96" i="5"/>
  <c r="V97" i="5"/>
  <c r="Z97" i="5" s="1"/>
  <c r="W97" i="5"/>
  <c r="Q106" i="5"/>
  <c r="R106" i="5"/>
  <c r="S106" i="5"/>
  <c r="T106" i="5"/>
  <c r="Q107" i="5"/>
  <c r="R107" i="5"/>
  <c r="S107" i="5"/>
  <c r="T107" i="5"/>
  <c r="AC97" i="5"/>
  <c r="V98" i="5"/>
  <c r="W98" i="5"/>
  <c r="AC98" i="5"/>
  <c r="V99" i="5"/>
  <c r="W99" i="5"/>
  <c r="Q108" i="5"/>
  <c r="R108" i="5"/>
  <c r="S108" i="5"/>
  <c r="T108" i="5"/>
  <c r="Q109" i="5"/>
  <c r="R109" i="5"/>
  <c r="S109" i="5"/>
  <c r="T109" i="5"/>
  <c r="AC99" i="5"/>
  <c r="V100" i="5"/>
  <c r="W100" i="5"/>
  <c r="AC100" i="5"/>
  <c r="V101" i="5"/>
  <c r="W101" i="5"/>
  <c r="Q110" i="5"/>
  <c r="R110" i="5"/>
  <c r="S110" i="5"/>
  <c r="T110" i="5"/>
  <c r="Q111" i="5"/>
  <c r="R111" i="5"/>
  <c r="S111" i="5"/>
  <c r="T111" i="5"/>
  <c r="AC101" i="5"/>
  <c r="V102" i="5"/>
  <c r="W102" i="5"/>
  <c r="AC102" i="5"/>
  <c r="V103" i="5"/>
  <c r="AA103" i="5" s="1"/>
  <c r="W103" i="5"/>
  <c r="Q112" i="5"/>
  <c r="R112" i="5"/>
  <c r="S112" i="5"/>
  <c r="T112" i="5"/>
  <c r="Q113" i="5"/>
  <c r="R113" i="5"/>
  <c r="S113" i="5"/>
  <c r="T113" i="5"/>
  <c r="AC103" i="5"/>
  <c r="V104" i="5"/>
  <c r="W104" i="5"/>
  <c r="AC104" i="5"/>
  <c r="V105" i="5"/>
  <c r="W105" i="5"/>
  <c r="Q114" i="5"/>
  <c r="R114" i="5"/>
  <c r="S114" i="5"/>
  <c r="T114" i="5"/>
  <c r="Q115" i="5"/>
  <c r="R115" i="5"/>
  <c r="S115" i="5"/>
  <c r="T115" i="5"/>
  <c r="AC105" i="5"/>
  <c r="V106" i="5"/>
  <c r="Z106" i="5" s="1"/>
  <c r="W106" i="5"/>
  <c r="AC106" i="5"/>
  <c r="V107" i="5"/>
  <c r="W107" i="5"/>
  <c r="Q116" i="5"/>
  <c r="R116" i="5"/>
  <c r="S116" i="5"/>
  <c r="T116" i="5"/>
  <c r="Q117" i="5"/>
  <c r="R117" i="5"/>
  <c r="S117" i="5"/>
  <c r="T117" i="5"/>
  <c r="AC107" i="5"/>
  <c r="V108" i="5"/>
  <c r="Z108" i="5" s="1"/>
  <c r="W108" i="5"/>
  <c r="AC108" i="5"/>
  <c r="V109" i="5"/>
  <c r="Z109" i="5" s="1"/>
  <c r="W109" i="5"/>
  <c r="Q118" i="5"/>
  <c r="R118" i="5"/>
  <c r="S118" i="5"/>
  <c r="T118" i="5"/>
  <c r="Q119" i="5"/>
  <c r="R119" i="5"/>
  <c r="S119" i="5"/>
  <c r="T119" i="5"/>
  <c r="AC109" i="5"/>
  <c r="V110" i="5"/>
  <c r="Z110" i="5" s="1"/>
  <c r="W110" i="5"/>
  <c r="AC110" i="5"/>
  <c r="V111" i="5"/>
  <c r="W111" i="5"/>
  <c r="Z111" i="5" s="1"/>
  <c r="Q120" i="5"/>
  <c r="R120" i="5"/>
  <c r="S120" i="5"/>
  <c r="Y120" i="5" s="1"/>
  <c r="T120" i="5"/>
  <c r="Q121" i="5"/>
  <c r="R121" i="5"/>
  <c r="S121" i="5"/>
  <c r="T121" i="5"/>
  <c r="AC111" i="5"/>
  <c r="V112" i="5"/>
  <c r="W112" i="5"/>
  <c r="Z112" i="5" s="1"/>
  <c r="AC112" i="5"/>
  <c r="V113" i="5"/>
  <c r="W113" i="5"/>
  <c r="Q122" i="5"/>
  <c r="R122" i="5"/>
  <c r="S122" i="5"/>
  <c r="T122" i="5"/>
  <c r="Q123" i="5"/>
  <c r="R123" i="5"/>
  <c r="S123" i="5"/>
  <c r="T123" i="5"/>
  <c r="AC113" i="5"/>
  <c r="V114" i="5"/>
  <c r="W114" i="5"/>
  <c r="AC114" i="5"/>
  <c r="V115" i="5"/>
  <c r="Z115" i="5" s="1"/>
  <c r="W115" i="5"/>
  <c r="Q124" i="5"/>
  <c r="R124" i="5"/>
  <c r="S124" i="5"/>
  <c r="T124" i="5"/>
  <c r="Q125" i="5"/>
  <c r="R125" i="5"/>
  <c r="S125" i="5"/>
  <c r="T125" i="5"/>
  <c r="AC115" i="5"/>
  <c r="V116" i="5"/>
  <c r="W116" i="5"/>
  <c r="AA116" i="5" s="1"/>
  <c r="AC116" i="5"/>
  <c r="V117" i="5"/>
  <c r="W117" i="5"/>
  <c r="Z117" i="5" s="1"/>
  <c r="Q126" i="5"/>
  <c r="R126" i="5"/>
  <c r="S126" i="5"/>
  <c r="T126" i="5"/>
  <c r="Q127" i="5"/>
  <c r="R127" i="5"/>
  <c r="S127" i="5"/>
  <c r="T127" i="5"/>
  <c r="AC117" i="5"/>
  <c r="V118" i="5"/>
  <c r="W118" i="5"/>
  <c r="AC118" i="5"/>
  <c r="V119" i="5"/>
  <c r="W119" i="5"/>
  <c r="Q128" i="5"/>
  <c r="R128" i="5"/>
  <c r="S128" i="5"/>
  <c r="T128" i="5"/>
  <c r="Q129" i="5"/>
  <c r="R129" i="5"/>
  <c r="S129" i="5"/>
  <c r="T129" i="5"/>
  <c r="AC119" i="5"/>
  <c r="V120" i="5"/>
  <c r="W120" i="5"/>
  <c r="AC120" i="5"/>
  <c r="V121" i="5"/>
  <c r="W121" i="5"/>
  <c r="Q130" i="5"/>
  <c r="R130" i="5"/>
  <c r="S130" i="5"/>
  <c r="T130" i="5"/>
  <c r="Q131" i="5"/>
  <c r="Y131" i="5" s="1"/>
  <c r="R131" i="5"/>
  <c r="S131" i="5"/>
  <c r="T131" i="5"/>
  <c r="AC121" i="5"/>
  <c r="V122" i="5"/>
  <c r="W122" i="5"/>
  <c r="AC122" i="5"/>
  <c r="V123" i="5"/>
  <c r="W123" i="5"/>
  <c r="Q132" i="5"/>
  <c r="R132" i="5"/>
  <c r="S132" i="5"/>
  <c r="T132" i="5"/>
  <c r="Q133" i="5"/>
  <c r="R133" i="5"/>
  <c r="S133" i="5"/>
  <c r="T133" i="5"/>
  <c r="AC123" i="5"/>
  <c r="V124" i="5"/>
  <c r="Z124" i="5" s="1"/>
  <c r="W124" i="5"/>
  <c r="AC124" i="5"/>
  <c r="V125" i="5"/>
  <c r="W125" i="5"/>
  <c r="Q134" i="5"/>
  <c r="R134" i="5"/>
  <c r="AJ145" i="5" s="1"/>
  <c r="S134" i="5"/>
  <c r="T134" i="5"/>
  <c r="Q135" i="5"/>
  <c r="R135" i="5"/>
  <c r="S135" i="5"/>
  <c r="T135" i="5"/>
  <c r="AC125" i="5"/>
  <c r="V126" i="5"/>
  <c r="W126" i="5"/>
  <c r="Z126" i="5" s="1"/>
  <c r="AC126" i="5"/>
  <c r="V127" i="5"/>
  <c r="W127" i="5"/>
  <c r="Q136" i="5"/>
  <c r="R136" i="5"/>
  <c r="AA136" i="5" s="1"/>
  <c r="S136" i="5"/>
  <c r="T136" i="5"/>
  <c r="Q137" i="5"/>
  <c r="R137" i="5"/>
  <c r="S137" i="5"/>
  <c r="T137" i="5"/>
  <c r="AC127" i="5"/>
  <c r="V128" i="5"/>
  <c r="W128" i="5"/>
  <c r="AC128" i="5"/>
  <c r="V129" i="5"/>
  <c r="W129" i="5"/>
  <c r="Q138" i="5"/>
  <c r="R138" i="5"/>
  <c r="S138" i="5"/>
  <c r="T138" i="5"/>
  <c r="Q139" i="5"/>
  <c r="R139" i="5"/>
  <c r="S139" i="5"/>
  <c r="T139" i="5"/>
  <c r="AC129" i="5"/>
  <c r="V130" i="5"/>
  <c r="W130" i="5"/>
  <c r="AC130" i="5"/>
  <c r="V131" i="5"/>
  <c r="W131" i="5"/>
  <c r="Q140" i="5"/>
  <c r="R140" i="5"/>
  <c r="S140" i="5"/>
  <c r="T140" i="5"/>
  <c r="Q141" i="5"/>
  <c r="R141" i="5"/>
  <c r="S141" i="5"/>
  <c r="T141" i="5"/>
  <c r="AC131" i="5"/>
  <c r="V132" i="5"/>
  <c r="W132" i="5"/>
  <c r="AC132" i="5"/>
  <c r="V133" i="5"/>
  <c r="W133" i="5"/>
  <c r="Q142" i="5"/>
  <c r="R142" i="5"/>
  <c r="S142" i="5"/>
  <c r="T142" i="5"/>
  <c r="Q143" i="5"/>
  <c r="R143" i="5"/>
  <c r="AJ153" i="5" s="1"/>
  <c r="S143" i="5"/>
  <c r="T143" i="5"/>
  <c r="AC133" i="5"/>
  <c r="V134" i="5"/>
  <c r="Z134" i="5" s="1"/>
  <c r="W134" i="5"/>
  <c r="AC134" i="5"/>
  <c r="V135" i="5"/>
  <c r="W135" i="5"/>
  <c r="Q144" i="5"/>
  <c r="R144" i="5"/>
  <c r="S144" i="5"/>
  <c r="T144" i="5"/>
  <c r="Q145" i="5"/>
  <c r="R145" i="5"/>
  <c r="S145" i="5"/>
  <c r="T145" i="5"/>
  <c r="AC135" i="5"/>
  <c r="V136" i="5"/>
  <c r="Z136" i="5" s="1"/>
  <c r="W136" i="5"/>
  <c r="AC136" i="5"/>
  <c r="V137" i="5"/>
  <c r="W137" i="5"/>
  <c r="Q146" i="5"/>
  <c r="Y146" i="5" s="1"/>
  <c r="R146" i="5"/>
  <c r="S146" i="5"/>
  <c r="T146" i="5"/>
  <c r="Q147" i="5"/>
  <c r="R147" i="5"/>
  <c r="S147" i="5"/>
  <c r="T147" i="5"/>
  <c r="AC137" i="5"/>
  <c r="V138" i="5"/>
  <c r="W138" i="5"/>
  <c r="AC138" i="5"/>
  <c r="V139" i="5"/>
  <c r="W139" i="5"/>
  <c r="Q148" i="5"/>
  <c r="R148" i="5"/>
  <c r="S148" i="5"/>
  <c r="T148" i="5"/>
  <c r="Q149" i="5"/>
  <c r="R149" i="5"/>
  <c r="S149" i="5"/>
  <c r="T149" i="5"/>
  <c r="AC139" i="5"/>
  <c r="V140" i="5"/>
  <c r="W140" i="5"/>
  <c r="AC140" i="5"/>
  <c r="V141" i="5"/>
  <c r="W141" i="5"/>
  <c r="Q150" i="5"/>
  <c r="R150" i="5"/>
  <c r="S150" i="5"/>
  <c r="T150" i="5"/>
  <c r="Q151" i="5"/>
  <c r="R151" i="5"/>
  <c r="S151" i="5"/>
  <c r="T151" i="5"/>
  <c r="AC141" i="5"/>
  <c r="V142" i="5"/>
  <c r="Z142" i="5" s="1"/>
  <c r="W142" i="5"/>
  <c r="AC142" i="5"/>
  <c r="V143" i="5"/>
  <c r="W143" i="5"/>
  <c r="Q152" i="5"/>
  <c r="R152" i="5"/>
  <c r="S152" i="5"/>
  <c r="T152" i="5"/>
  <c r="AL159" i="5" s="1"/>
  <c r="Q153" i="5"/>
  <c r="R153" i="5"/>
  <c r="S153" i="5"/>
  <c r="T153" i="5"/>
  <c r="AC143" i="5"/>
  <c r="V144" i="5"/>
  <c r="Z144" i="5" s="1"/>
  <c r="W144" i="5"/>
  <c r="AC144" i="5"/>
  <c r="V145" i="5"/>
  <c r="W145" i="5"/>
  <c r="Q154" i="5"/>
  <c r="R154" i="5"/>
  <c r="AJ161" i="5" s="1"/>
  <c r="S154" i="5"/>
  <c r="T154" i="5"/>
  <c r="Q155" i="5"/>
  <c r="R155" i="5"/>
  <c r="S155" i="5"/>
  <c r="AK166" i="5" s="1"/>
  <c r="T155" i="5"/>
  <c r="AC145" i="5"/>
  <c r="V146" i="5"/>
  <c r="Z146" i="5" s="1"/>
  <c r="W146" i="5"/>
  <c r="AC146" i="5"/>
  <c r="V147" i="5"/>
  <c r="W147" i="5"/>
  <c r="Q156" i="5"/>
  <c r="R156" i="5"/>
  <c r="S156" i="5"/>
  <c r="T156" i="5"/>
  <c r="Q157" i="5"/>
  <c r="R157" i="5"/>
  <c r="S157" i="5"/>
  <c r="T157" i="5"/>
  <c r="AC147" i="5"/>
  <c r="V148" i="5"/>
  <c r="W148" i="5"/>
  <c r="Z148" i="5" s="1"/>
  <c r="AC148" i="5"/>
  <c r="V149" i="5"/>
  <c r="W149" i="5"/>
  <c r="Q158" i="5"/>
  <c r="R158" i="5"/>
  <c r="S158" i="5"/>
  <c r="AK168" i="5" s="1"/>
  <c r="T158" i="5"/>
  <c r="Q159" i="5"/>
  <c r="R159" i="5"/>
  <c r="S159" i="5"/>
  <c r="T159" i="5"/>
  <c r="AC149" i="5"/>
  <c r="V150" i="5"/>
  <c r="Z150" i="5" s="1"/>
  <c r="W150" i="5"/>
  <c r="AC150" i="5"/>
  <c r="V151" i="5"/>
  <c r="W151" i="5"/>
  <c r="Q160" i="5"/>
  <c r="R160" i="5"/>
  <c r="S160" i="5"/>
  <c r="T160" i="5"/>
  <c r="Q161" i="5"/>
  <c r="R161" i="5"/>
  <c r="S161" i="5"/>
  <c r="T161" i="5"/>
  <c r="AL170" i="5" s="1"/>
  <c r="AC151" i="5"/>
  <c r="V152" i="5"/>
  <c r="W152" i="5"/>
  <c r="AC152" i="5"/>
  <c r="V153" i="5"/>
  <c r="Z153" i="5" s="1"/>
  <c r="W153" i="5"/>
  <c r="Q162" i="5"/>
  <c r="R162" i="5"/>
  <c r="S162" i="5"/>
  <c r="T162" i="5"/>
  <c r="Q163" i="5"/>
  <c r="R163" i="5"/>
  <c r="AJ171" i="5" s="1"/>
  <c r="S163" i="5"/>
  <c r="T163" i="5"/>
  <c r="AC153" i="5"/>
  <c r="V154" i="5"/>
  <c r="W154" i="5"/>
  <c r="Z154" i="5" s="1"/>
  <c r="AC154" i="5"/>
  <c r="V155" i="5"/>
  <c r="W155" i="5"/>
  <c r="Q164" i="5"/>
  <c r="R164" i="5"/>
  <c r="S164" i="5"/>
  <c r="T164" i="5"/>
  <c r="AL173" i="5" s="1"/>
  <c r="Q165" i="5"/>
  <c r="R165" i="5"/>
  <c r="S165" i="5"/>
  <c r="T165" i="5"/>
  <c r="AC155" i="5"/>
  <c r="V156" i="5"/>
  <c r="Z156" i="5" s="1"/>
  <c r="W156" i="5"/>
  <c r="AC156" i="5"/>
  <c r="V157" i="5"/>
  <c r="W157" i="5"/>
  <c r="Q166" i="5"/>
  <c r="R166" i="5"/>
  <c r="AA166" i="5" s="1"/>
  <c r="S166" i="5"/>
  <c r="T166" i="5"/>
  <c r="Q167" i="5"/>
  <c r="R167" i="5"/>
  <c r="S167" i="5"/>
  <c r="AA167" i="5" s="1"/>
  <c r="T167" i="5"/>
  <c r="AC157" i="5"/>
  <c r="V158" i="5"/>
  <c r="W158" i="5"/>
  <c r="AC158" i="5"/>
  <c r="V159" i="5"/>
  <c r="W159" i="5"/>
  <c r="AA159" i="5" s="1"/>
  <c r="Q168" i="5"/>
  <c r="R168" i="5"/>
  <c r="S168" i="5"/>
  <c r="T168" i="5"/>
  <c r="Q169" i="5"/>
  <c r="AI174" i="5" s="1"/>
  <c r="R169" i="5"/>
  <c r="S169" i="5"/>
  <c r="T169" i="5"/>
  <c r="AC159" i="5"/>
  <c r="V160" i="5"/>
  <c r="W160" i="5"/>
  <c r="AC160" i="5"/>
  <c r="V161" i="5"/>
  <c r="W161" i="5"/>
  <c r="Q170" i="5"/>
  <c r="R170" i="5"/>
  <c r="S170" i="5"/>
  <c r="T170" i="5"/>
  <c r="Q171" i="5"/>
  <c r="R171" i="5"/>
  <c r="S171" i="5"/>
  <c r="T171" i="5"/>
  <c r="AC161" i="5"/>
  <c r="V162" i="5"/>
  <c r="AA162" i="5" s="1"/>
  <c r="W162" i="5"/>
  <c r="AC162" i="5"/>
  <c r="V163" i="5"/>
  <c r="W163" i="5"/>
  <c r="Q172" i="5"/>
  <c r="R172" i="5"/>
  <c r="S172" i="5"/>
  <c r="T172" i="5"/>
  <c r="Q173" i="5"/>
  <c r="R173" i="5"/>
  <c r="S173" i="5"/>
  <c r="T173" i="5"/>
  <c r="AL176" i="5" s="1"/>
  <c r="AC163" i="5"/>
  <c r="V164" i="5"/>
  <c r="W164" i="5"/>
  <c r="AC164" i="5"/>
  <c r="V165" i="5"/>
  <c r="W165" i="5"/>
  <c r="Q174" i="5"/>
  <c r="R174" i="5"/>
  <c r="S174" i="5"/>
  <c r="T174" i="5"/>
  <c r="Q175" i="5"/>
  <c r="R175" i="5"/>
  <c r="AJ178" i="5" s="1"/>
  <c r="S175" i="5"/>
  <c r="T175" i="5"/>
  <c r="AC165" i="5"/>
  <c r="V166" i="5"/>
  <c r="W166" i="5"/>
  <c r="AC166" i="5"/>
  <c r="V167" i="5"/>
  <c r="W167" i="5"/>
  <c r="Q176" i="5"/>
  <c r="R176" i="5"/>
  <c r="S176" i="5"/>
  <c r="T176" i="5"/>
  <c r="Q177" i="5"/>
  <c r="R177" i="5"/>
  <c r="S177" i="5"/>
  <c r="T177" i="5"/>
  <c r="AC167" i="5"/>
  <c r="V168" i="5"/>
  <c r="W168" i="5"/>
  <c r="AC168" i="5"/>
  <c r="V169" i="5"/>
  <c r="W169" i="5"/>
  <c r="Q178" i="5"/>
  <c r="R178" i="5"/>
  <c r="S178" i="5"/>
  <c r="T178" i="5"/>
  <c r="Q179" i="5"/>
  <c r="R179" i="5"/>
  <c r="S179" i="5"/>
  <c r="T179" i="5"/>
  <c r="AC169" i="5"/>
  <c r="V170" i="5"/>
  <c r="Z170" i="5" s="1"/>
  <c r="W170" i="5"/>
  <c r="AC170" i="5"/>
  <c r="V171" i="5"/>
  <c r="W171" i="5"/>
  <c r="Z171" i="5" s="1"/>
  <c r="Q180" i="5"/>
  <c r="R180" i="5"/>
  <c r="S180" i="5"/>
  <c r="T180" i="5"/>
  <c r="Q181" i="5"/>
  <c r="Y181" i="5" s="1"/>
  <c r="R181" i="5"/>
  <c r="S181" i="5"/>
  <c r="T181" i="5"/>
  <c r="AC171" i="5"/>
  <c r="V172" i="5"/>
  <c r="W172" i="5"/>
  <c r="AC172" i="5"/>
  <c r="V173" i="5"/>
  <c r="Z173" i="5" s="1"/>
  <c r="W173" i="5"/>
  <c r="Q182" i="5"/>
  <c r="R182" i="5"/>
  <c r="S182" i="5"/>
  <c r="T182" i="5"/>
  <c r="Q183" i="5"/>
  <c r="R183" i="5"/>
  <c r="S183" i="5"/>
  <c r="T183" i="5"/>
  <c r="AC173" i="5"/>
  <c r="V174" i="5"/>
  <c r="W174" i="5"/>
  <c r="AC174" i="5"/>
  <c r="V175" i="5"/>
  <c r="W175" i="5"/>
  <c r="Q184" i="5"/>
  <c r="R184" i="5"/>
  <c r="S184" i="5"/>
  <c r="T184" i="5"/>
  <c r="Q185" i="5"/>
  <c r="R185" i="5"/>
  <c r="S185" i="5"/>
  <c r="T185" i="5"/>
  <c r="AC175" i="5"/>
  <c r="V176" i="5"/>
  <c r="W176" i="5"/>
  <c r="AC176" i="5"/>
  <c r="V177" i="5"/>
  <c r="Z177" i="5" s="1"/>
  <c r="W177" i="5"/>
  <c r="Q186" i="5"/>
  <c r="R186" i="5"/>
  <c r="S186" i="5"/>
  <c r="T186" i="5"/>
  <c r="Q187" i="5"/>
  <c r="R187" i="5"/>
  <c r="S187" i="5"/>
  <c r="T187" i="5"/>
  <c r="AC177" i="5"/>
  <c r="V178" i="5"/>
  <c r="Z178" i="5" s="1"/>
  <c r="W178" i="5"/>
  <c r="AC178" i="5"/>
  <c r="V179" i="5"/>
  <c r="Z179" i="5" s="1"/>
  <c r="W179" i="5"/>
  <c r="Q188" i="5"/>
  <c r="R188" i="5"/>
  <c r="S188" i="5"/>
  <c r="T188" i="5"/>
  <c r="Q189" i="5"/>
  <c r="R189" i="5"/>
  <c r="S189" i="5"/>
  <c r="T189" i="5"/>
  <c r="AC179" i="5"/>
  <c r="V180" i="5"/>
  <c r="W180" i="5"/>
  <c r="AC180" i="5"/>
  <c r="V181" i="5"/>
  <c r="W181" i="5"/>
  <c r="Q190" i="5"/>
  <c r="R190" i="5"/>
  <c r="S190" i="5"/>
  <c r="T190" i="5"/>
  <c r="Q191" i="5"/>
  <c r="R191" i="5"/>
  <c r="S191" i="5"/>
  <c r="AK200" i="5" s="1"/>
  <c r="T191" i="5"/>
  <c r="AC181" i="5"/>
  <c r="V182" i="5"/>
  <c r="W182" i="5"/>
  <c r="AC182" i="5"/>
  <c r="V183" i="5"/>
  <c r="W183" i="5"/>
  <c r="Q192" i="5"/>
  <c r="R192" i="5"/>
  <c r="S192" i="5"/>
  <c r="T192" i="5"/>
  <c r="Q193" i="5"/>
  <c r="R193" i="5"/>
  <c r="S193" i="5"/>
  <c r="T193" i="5"/>
  <c r="AC183" i="5"/>
  <c r="V184" i="5"/>
  <c r="W184" i="5"/>
  <c r="AC184" i="5"/>
  <c r="V185" i="5"/>
  <c r="Z185" i="5" s="1"/>
  <c r="W185" i="5"/>
  <c r="Q194" i="5"/>
  <c r="R194" i="5"/>
  <c r="S194" i="5"/>
  <c r="T194" i="5"/>
  <c r="Q195" i="5"/>
  <c r="R195" i="5"/>
  <c r="S195" i="5"/>
  <c r="Y195" i="5" s="1"/>
  <c r="T195" i="5"/>
  <c r="AC185" i="5"/>
  <c r="V186" i="5"/>
  <c r="W186" i="5"/>
  <c r="AC186" i="5"/>
  <c r="V187" i="5"/>
  <c r="W187" i="5"/>
  <c r="Z187" i="5" s="1"/>
  <c r="Q196" i="5"/>
  <c r="AA196" i="5" s="1"/>
  <c r="R196" i="5"/>
  <c r="S196" i="5"/>
  <c r="T196" i="5"/>
  <c r="Q197" i="5"/>
  <c r="R197" i="5"/>
  <c r="S197" i="5"/>
  <c r="T197" i="5"/>
  <c r="AC187" i="5"/>
  <c r="V188" i="5"/>
  <c r="W188" i="5"/>
  <c r="AC188" i="5"/>
  <c r="V189" i="5"/>
  <c r="W189" i="5"/>
  <c r="Q198" i="5"/>
  <c r="R198" i="5"/>
  <c r="S198" i="5"/>
  <c r="T198" i="5"/>
  <c r="Q199" i="5"/>
  <c r="R199" i="5"/>
  <c r="S199" i="5"/>
  <c r="T199" i="5"/>
  <c r="AC189" i="5"/>
  <c r="V190" i="5"/>
  <c r="Z190" i="5" s="1"/>
  <c r="W190" i="5"/>
  <c r="AC190" i="5"/>
  <c r="V191" i="5"/>
  <c r="W191" i="5"/>
  <c r="Q200" i="5"/>
  <c r="R200" i="5"/>
  <c r="S200" i="5"/>
  <c r="T200" i="5"/>
  <c r="Q201" i="5"/>
  <c r="R201" i="5"/>
  <c r="S201" i="5"/>
  <c r="T201" i="5"/>
  <c r="AC191" i="5"/>
  <c r="V192" i="5"/>
  <c r="Z192" i="5" s="1"/>
  <c r="W192" i="5"/>
  <c r="AC192" i="5"/>
  <c r="V193" i="5"/>
  <c r="W193" i="5"/>
  <c r="Q202" i="5"/>
  <c r="R202" i="5"/>
  <c r="S202" i="5"/>
  <c r="T202" i="5"/>
  <c r="Q203" i="5"/>
  <c r="R203" i="5"/>
  <c r="AA203" i="5" s="1"/>
  <c r="S203" i="5"/>
  <c r="AK203" i="5" s="1"/>
  <c r="T203" i="5"/>
  <c r="AC193" i="5"/>
  <c r="V194" i="5"/>
  <c r="W194" i="5"/>
  <c r="AC194" i="5"/>
  <c r="V195" i="5"/>
  <c r="W195" i="5"/>
  <c r="Q204" i="5"/>
  <c r="R204" i="5"/>
  <c r="S204" i="5"/>
  <c r="T204" i="5"/>
  <c r="Q205" i="5"/>
  <c r="Y205" i="5" s="1"/>
  <c r="R205" i="5"/>
  <c r="S205" i="5"/>
  <c r="T205" i="5"/>
  <c r="AC195" i="5"/>
  <c r="V196" i="5"/>
  <c r="W196" i="5"/>
  <c r="AC196" i="5"/>
  <c r="V197" i="5"/>
  <c r="Z197" i="5" s="1"/>
  <c r="W197" i="5"/>
  <c r="Q206" i="5"/>
  <c r="R206" i="5"/>
  <c r="S206" i="5"/>
  <c r="AK215" i="5" s="1"/>
  <c r="T206" i="5"/>
  <c r="Q207" i="5"/>
  <c r="R207" i="5"/>
  <c r="S207" i="5"/>
  <c r="Y207" i="5" s="1"/>
  <c r="T207" i="5"/>
  <c r="AC197" i="5"/>
  <c r="V198" i="5"/>
  <c r="W198" i="5"/>
  <c r="AC198" i="5"/>
  <c r="V199" i="5"/>
  <c r="W199" i="5"/>
  <c r="S208" i="5"/>
  <c r="S209" i="5"/>
  <c r="Q208" i="5"/>
  <c r="R208" i="5"/>
  <c r="T208" i="5"/>
  <c r="Q209" i="5"/>
  <c r="R209" i="5"/>
  <c r="T209" i="5"/>
  <c r="AC199" i="5"/>
  <c r="V200" i="5"/>
  <c r="W200" i="5"/>
  <c r="AC200" i="5"/>
  <c r="V201" i="5"/>
  <c r="Z201" i="5" s="1"/>
  <c r="W201" i="5"/>
  <c r="AC201" i="5"/>
  <c r="V202" i="5"/>
  <c r="W202" i="5"/>
  <c r="AC202" i="5"/>
  <c r="V203" i="5"/>
  <c r="Z203" i="5" s="1"/>
  <c r="W203" i="5"/>
  <c r="AC203" i="5"/>
  <c r="V204" i="5"/>
  <c r="Z204" i="5" s="1"/>
  <c r="W204" i="5"/>
  <c r="AC204" i="5"/>
  <c r="V205" i="5"/>
  <c r="Z205" i="5" s="1"/>
  <c r="W205" i="5"/>
  <c r="AC205" i="5"/>
  <c r="V206" i="5"/>
  <c r="W206" i="5"/>
  <c r="AC206" i="5"/>
  <c r="V207" i="5"/>
  <c r="AA207" i="5" s="1"/>
  <c r="W207" i="5"/>
  <c r="Y217" i="5"/>
  <c r="AC207" i="5"/>
  <c r="V208" i="5"/>
  <c r="W208" i="5"/>
  <c r="AC208" i="5"/>
  <c r="V209" i="5"/>
  <c r="W209" i="5"/>
  <c r="Z209" i="5" s="1"/>
  <c r="AC209" i="5"/>
  <c r="AC210" i="5"/>
  <c r="AC211" i="5"/>
  <c r="AC212" i="5"/>
  <c r="AC213" i="5"/>
  <c r="AC214" i="5"/>
  <c r="AC215" i="5"/>
  <c r="AC216" i="5"/>
  <c r="Z217" i="5"/>
  <c r="AC217" i="5"/>
  <c r="AC218" i="5"/>
  <c r="AC219" i="5"/>
  <c r="AC220" i="5"/>
  <c r="Z221" i="5"/>
  <c r="AC221" i="5"/>
  <c r="AC222" i="5"/>
  <c r="AC223" i="5"/>
  <c r="AC224" i="5"/>
  <c r="Z225" i="5"/>
  <c r="AC225" i="5"/>
  <c r="AC226" i="5"/>
  <c r="Z227" i="5"/>
  <c r="AC227" i="5"/>
  <c r="AC228" i="5"/>
  <c r="Z229" i="5"/>
  <c r="AC229" i="5"/>
  <c r="AC230" i="5"/>
  <c r="AC231" i="5"/>
  <c r="Y232" i="5"/>
  <c r="AC232" i="5"/>
  <c r="Z233" i="5"/>
  <c r="AC233" i="5"/>
  <c r="AC234" i="5"/>
  <c r="AK234" i="5"/>
  <c r="AC235" i="5"/>
  <c r="AC236" i="5"/>
  <c r="AC237" i="5"/>
  <c r="AK237" i="5"/>
  <c r="AC238" i="5"/>
  <c r="AC239" i="5"/>
  <c r="AC240" i="5"/>
  <c r="AC241" i="5"/>
  <c r="AC242" i="5"/>
  <c r="AC243" i="5"/>
  <c r="Y244" i="5"/>
  <c r="Z244" i="5"/>
  <c r="AC244" i="5"/>
  <c r="AC245" i="5"/>
  <c r="AC246" i="5"/>
  <c r="AC247" i="5"/>
  <c r="Y248" i="5"/>
  <c r="AC248" i="5"/>
  <c r="AC249" i="5"/>
  <c r="Y258" i="5"/>
  <c r="AC250" i="5"/>
  <c r="Y262" i="5"/>
  <c r="AC251" i="5"/>
  <c r="AC252" i="5"/>
  <c r="AC253" i="5"/>
  <c r="AC254" i="5"/>
  <c r="AJ254" i="5"/>
  <c r="AC255" i="5"/>
  <c r="AC256" i="5"/>
  <c r="AC257" i="5"/>
  <c r="AC258" i="5"/>
  <c r="AC259" i="5"/>
  <c r="Y271" i="5"/>
  <c r="AC260" i="5"/>
  <c r="AC261" i="5"/>
  <c r="AC262" i="5"/>
  <c r="AC263" i="5"/>
  <c r="AC264" i="5"/>
  <c r="AC265" i="5"/>
  <c r="AC266" i="5"/>
  <c r="AC267" i="5"/>
  <c r="Y279" i="5"/>
  <c r="AC268" i="5"/>
  <c r="AC269" i="5"/>
  <c r="AC270" i="5"/>
  <c r="AC271" i="5"/>
  <c r="AC272" i="5"/>
  <c r="AC273" i="5"/>
  <c r="AC274" i="5"/>
  <c r="AC275" i="5"/>
  <c r="AC276" i="5"/>
  <c r="AC277" i="5"/>
  <c r="Z278" i="5"/>
  <c r="AC278" i="5"/>
  <c r="AC279" i="5"/>
  <c r="AC280" i="5"/>
  <c r="Z281" i="5"/>
  <c r="AC281" i="5"/>
  <c r="AC282" i="5"/>
  <c r="AC283" i="5"/>
  <c r="AC284" i="5"/>
  <c r="Z285" i="5"/>
  <c r="AC285" i="5"/>
  <c r="Z286" i="5"/>
  <c r="AC286" i="5"/>
  <c r="AC287" i="5"/>
  <c r="AC288" i="5"/>
  <c r="Z289" i="5"/>
  <c r="AC289" i="5"/>
  <c r="AC290" i="5"/>
  <c r="AC291" i="5"/>
  <c r="AC292" i="5"/>
  <c r="Z293" i="5"/>
  <c r="AC293" i="5"/>
  <c r="Z294" i="5"/>
  <c r="AC294" i="5"/>
  <c r="AC295" i="5"/>
  <c r="AC296" i="5"/>
  <c r="Y308" i="5"/>
  <c r="AC297" i="5"/>
  <c r="AC298" i="5"/>
  <c r="AC299" i="5"/>
  <c r="AC300" i="5"/>
  <c r="AC301" i="5"/>
  <c r="AC302" i="5"/>
  <c r="AC303" i="5"/>
  <c r="AC304" i="5"/>
  <c r="Z305" i="5"/>
  <c r="AC305" i="5"/>
  <c r="AC306" i="5"/>
  <c r="AC307" i="5"/>
  <c r="AC308" i="5"/>
  <c r="Z309" i="5"/>
  <c r="AC309" i="5"/>
  <c r="AC310" i="5"/>
  <c r="AC311" i="5"/>
  <c r="AC312" i="5"/>
  <c r="Z313" i="5"/>
  <c r="AC313" i="5"/>
  <c r="AC314" i="5"/>
  <c r="Z315" i="5"/>
  <c r="AC315" i="5"/>
  <c r="AC316" i="5"/>
  <c r="Z317" i="5"/>
  <c r="AC317" i="5"/>
  <c r="AC318" i="5"/>
  <c r="AC319" i="5"/>
  <c r="AC320" i="5"/>
  <c r="AC321" i="5"/>
  <c r="AC322" i="5"/>
  <c r="Z323" i="5"/>
  <c r="AC323" i="5"/>
  <c r="AC324" i="5"/>
  <c r="AC325" i="5"/>
  <c r="AC326" i="5"/>
  <c r="AC327" i="5"/>
  <c r="AC328" i="5"/>
  <c r="AC329" i="5"/>
  <c r="AC330" i="5"/>
  <c r="Z331" i="5"/>
  <c r="AC331" i="5"/>
  <c r="AC332" i="5"/>
  <c r="AC333" i="5"/>
  <c r="AC334" i="5"/>
  <c r="AK334" i="5"/>
  <c r="AC335" i="5"/>
  <c r="AC336" i="5"/>
  <c r="AC337" i="5"/>
  <c r="AC338" i="5"/>
  <c r="AK338" i="5"/>
  <c r="Z339" i="5"/>
  <c r="AC339" i="5"/>
  <c r="AC340" i="5"/>
  <c r="AC341" i="5"/>
  <c r="AC342" i="5"/>
  <c r="AC343" i="5"/>
  <c r="AC344" i="5"/>
  <c r="AC345" i="5"/>
  <c r="AC346" i="5"/>
  <c r="AC347" i="5"/>
  <c r="AC348" i="5"/>
  <c r="AC349" i="5"/>
  <c r="AC350" i="5"/>
  <c r="AC351" i="5"/>
  <c r="AC352" i="5"/>
  <c r="AC353" i="5"/>
  <c r="AC354" i="5"/>
  <c r="AC355" i="5"/>
  <c r="AK242" i="5"/>
  <c r="AK245" i="5"/>
  <c r="AI26" i="5"/>
  <c r="Y53" i="5"/>
  <c r="Y52" i="5"/>
  <c r="Y49" i="5"/>
  <c r="Y40" i="5"/>
  <c r="Y31" i="5"/>
  <c r="Y28" i="5"/>
  <c r="Y23" i="5"/>
  <c r="AA18" i="5"/>
  <c r="AA256" i="5"/>
  <c r="AA242" i="5"/>
  <c r="AI294" i="5"/>
  <c r="AA244" i="5"/>
  <c r="AI254" i="5"/>
  <c r="J181" i="6"/>
  <c r="J179" i="6"/>
  <c r="J175" i="6"/>
  <c r="J173" i="6"/>
  <c r="J171" i="6"/>
  <c r="J180" i="6"/>
  <c r="J172" i="6"/>
  <c r="AI233" i="5"/>
  <c r="AA353" i="5"/>
  <c r="AI397" i="5"/>
  <c r="AI341" i="5"/>
  <c r="AI347" i="5"/>
  <c r="AK75" i="5"/>
  <c r="AK248" i="5"/>
  <c r="AK244" i="5"/>
  <c r="AI260" i="5"/>
  <c r="AK336" i="5"/>
  <c r="AL315" i="5"/>
  <c r="AL306" i="5"/>
  <c r="AL299" i="5"/>
  <c r="AL275" i="5"/>
  <c r="AL269" i="5"/>
  <c r="AL262" i="5"/>
  <c r="AL254" i="5"/>
  <c r="AL253" i="5"/>
  <c r="AL252" i="5"/>
  <c r="AL250" i="5"/>
  <c r="AK249" i="5"/>
  <c r="AL247" i="5"/>
  <c r="Y242" i="5"/>
  <c r="AK238" i="5"/>
  <c r="AA168" i="5"/>
  <c r="AA160" i="5"/>
  <c r="Y169" i="5"/>
  <c r="AA152" i="5"/>
  <c r="Y153" i="5"/>
  <c r="AL132" i="5"/>
  <c r="AL131" i="5"/>
  <c r="AL128" i="5"/>
  <c r="AI52" i="5"/>
  <c r="Z48" i="5"/>
  <c r="AI342" i="5"/>
  <c r="AA332" i="5"/>
  <c r="AI267" i="5"/>
  <c r="Y408" i="5"/>
  <c r="AL96" i="5"/>
  <c r="AI392" i="5"/>
  <c r="AL49" i="5"/>
  <c r="Y47" i="5"/>
  <c r="Y59" i="5"/>
  <c r="AI203" i="5"/>
  <c r="AL344" i="5"/>
  <c r="AK339" i="5"/>
  <c r="AK335" i="5"/>
  <c r="Y344" i="5"/>
  <c r="Y338" i="5"/>
  <c r="Y334" i="5"/>
  <c r="Y332" i="5"/>
  <c r="Y324" i="5"/>
  <c r="Y300" i="5"/>
  <c r="Y296" i="5"/>
  <c r="Y284" i="5"/>
  <c r="Y275" i="5"/>
  <c r="AJ181" i="5"/>
  <c r="AJ166" i="5"/>
  <c r="AJ146" i="5"/>
  <c r="Y138" i="5"/>
  <c r="AA114" i="5"/>
  <c r="AA106" i="5"/>
  <c r="AA102" i="5"/>
  <c r="AA94" i="5"/>
  <c r="AA92" i="5"/>
  <c r="AA90" i="5"/>
  <c r="AJ78" i="5"/>
  <c r="Z16" i="5"/>
  <c r="AA336" i="5"/>
  <c r="AI338" i="5"/>
  <c r="AI259" i="5"/>
  <c r="AK378" i="5"/>
  <c r="AL383" i="5"/>
  <c r="AA358" i="5"/>
  <c r="AK400" i="5"/>
  <c r="AL387" i="5"/>
  <c r="Y416" i="5"/>
  <c r="Y366" i="5"/>
  <c r="Y357" i="5"/>
  <c r="AA349" i="5"/>
  <c r="Y349" i="5"/>
  <c r="AK60" i="5"/>
  <c r="AA416" i="5"/>
  <c r="Y360" i="5"/>
  <c r="Y359" i="5"/>
  <c r="Y351" i="5"/>
  <c r="Y350" i="5"/>
  <c r="AI360" i="5"/>
  <c r="Y382" i="5"/>
  <c r="AA382" i="5"/>
  <c r="AA326" i="5"/>
  <c r="AL51" i="5"/>
  <c r="AL55" i="5"/>
  <c r="AL59" i="5"/>
  <c r="AA23" i="5"/>
  <c r="AA59" i="5"/>
  <c r="AI327" i="5"/>
  <c r="AI249" i="5"/>
  <c r="AK247" i="5"/>
  <c r="AK243" i="5"/>
  <c r="AI253" i="5"/>
  <c r="AL350" i="5"/>
  <c r="AK341" i="5"/>
  <c r="AK333" i="5"/>
  <c r="AK332" i="5"/>
  <c r="AK331" i="5"/>
  <c r="AK328" i="5"/>
  <c r="AK327" i="5"/>
  <c r="AK326" i="5"/>
  <c r="AK325" i="5"/>
  <c r="AK317" i="5"/>
  <c r="AK316" i="5"/>
  <c r="AK308" i="5"/>
  <c r="AK307" i="5"/>
  <c r="AK286" i="5"/>
  <c r="AK275" i="5"/>
  <c r="AK269" i="5"/>
  <c r="AK267" i="5"/>
  <c r="AK266" i="5"/>
  <c r="AK264" i="5"/>
  <c r="AK263" i="5"/>
  <c r="AK262" i="5"/>
  <c r="AK261" i="5"/>
  <c r="AK260" i="5"/>
  <c r="AK259" i="5"/>
  <c r="AK258" i="5"/>
  <c r="AK257" i="5"/>
  <c r="AK256" i="5"/>
  <c r="AK254" i="5"/>
  <c r="AK253" i="5"/>
  <c r="AK252" i="5"/>
  <c r="AK251" i="5"/>
  <c r="AJ249" i="5"/>
  <c r="AJ247" i="5"/>
  <c r="Y230" i="5"/>
  <c r="AJ147" i="5"/>
  <c r="Y137" i="5"/>
  <c r="Y135" i="5"/>
  <c r="Y133" i="5"/>
  <c r="Y129" i="5"/>
  <c r="Y127" i="5"/>
  <c r="Y121" i="5"/>
  <c r="Y113" i="5"/>
  <c r="Y103" i="5"/>
  <c r="Y89" i="5"/>
  <c r="Y87" i="5"/>
  <c r="AA74" i="5"/>
  <c r="AA66" i="5"/>
  <c r="AL64" i="5"/>
  <c r="Z64" i="5"/>
  <c r="Z53" i="5"/>
  <c r="Z41" i="5"/>
  <c r="Z33" i="5"/>
  <c r="AA327" i="5"/>
  <c r="AA323" i="5"/>
  <c r="AI330" i="5"/>
  <c r="AJ358" i="5"/>
  <c r="AJ411" i="5"/>
  <c r="AJ386" i="5"/>
  <c r="AA386" i="5"/>
  <c r="AA381" i="5"/>
  <c r="Y377" i="5"/>
  <c r="AJ410" i="5"/>
  <c r="J207" i="6"/>
  <c r="J218" i="6"/>
  <c r="J214" i="6"/>
  <c r="J210" i="6"/>
  <c r="J209" i="6"/>
  <c r="AL199" i="5"/>
  <c r="AL197" i="5"/>
  <c r="AL202" i="5"/>
  <c r="AA195" i="5"/>
  <c r="AK205" i="5"/>
  <c r="AL118" i="5"/>
  <c r="AL117" i="5"/>
  <c r="AK106" i="5"/>
  <c r="AK112" i="5"/>
  <c r="Y101" i="5"/>
  <c r="Z88" i="5"/>
  <c r="Y93" i="5"/>
  <c r="AI96" i="5"/>
  <c r="Y91" i="5"/>
  <c r="Y81" i="5"/>
  <c r="Y80" i="5"/>
  <c r="AA80" i="5"/>
  <c r="Y78" i="5"/>
  <c r="AI83" i="5"/>
  <c r="AI82" i="5"/>
  <c r="AI77" i="5"/>
  <c r="AI80" i="5"/>
  <c r="AA70" i="5"/>
  <c r="AI79" i="5"/>
  <c r="AI81" i="5"/>
  <c r="AA65" i="5"/>
  <c r="Y65" i="5"/>
  <c r="AI71" i="5"/>
  <c r="AA60" i="5"/>
  <c r="AI65" i="5"/>
  <c r="AI59" i="5"/>
  <c r="AJ63" i="5"/>
  <c r="Y55" i="5"/>
  <c r="AJ64" i="5"/>
  <c r="AA55" i="5"/>
  <c r="AJ58" i="5"/>
  <c r="Y21" i="5"/>
  <c r="AJ29" i="5"/>
  <c r="AJ30" i="5"/>
  <c r="AJ31" i="5"/>
  <c r="AA19" i="5"/>
  <c r="Y183" i="5"/>
  <c r="AA183" i="5"/>
  <c r="AJ187" i="5"/>
  <c r="AJ190" i="5"/>
  <c r="Y167" i="5"/>
  <c r="AJ175" i="5"/>
  <c r="Y151" i="5"/>
  <c r="Y145" i="5"/>
  <c r="AA144" i="5"/>
  <c r="AK151" i="5"/>
  <c r="Y143" i="5"/>
  <c r="AJ131" i="5"/>
  <c r="AJ132" i="5"/>
  <c r="AJ121" i="5"/>
  <c r="Y106" i="5"/>
  <c r="Y108" i="5"/>
  <c r="AJ119" i="5"/>
  <c r="AA108" i="5"/>
  <c r="AA46" i="5"/>
  <c r="AK46" i="5"/>
  <c r="AA179" i="5"/>
  <c r="AA163" i="5"/>
  <c r="Y163" i="5"/>
  <c r="AI138" i="5"/>
  <c r="AJ118" i="5"/>
  <c r="Z195" i="5"/>
  <c r="Z182" i="5"/>
  <c r="Y182" i="5"/>
  <c r="AL189" i="5"/>
  <c r="AL188" i="5"/>
  <c r="AL156" i="5"/>
  <c r="Y144" i="5"/>
  <c r="AL149" i="5"/>
  <c r="AL154" i="5"/>
  <c r="AL151" i="5"/>
  <c r="Z130" i="5"/>
  <c r="AL130" i="5"/>
  <c r="AL129" i="5"/>
  <c r="Y124" i="5"/>
  <c r="AJ134" i="5"/>
  <c r="Z107" i="5"/>
  <c r="AJ105" i="5"/>
  <c r="AA113" i="5"/>
  <c r="AA109" i="5"/>
  <c r="AK87" i="5"/>
  <c r="Z67" i="5"/>
  <c r="AK81" i="5"/>
  <c r="AK72" i="5"/>
  <c r="AL216" i="5"/>
  <c r="AL193" i="5"/>
  <c r="Z193" i="5"/>
  <c r="AA188" i="5"/>
  <c r="Y186" i="5"/>
  <c r="AI183" i="5"/>
  <c r="AA171" i="5"/>
  <c r="Y171" i="5"/>
  <c r="Y170" i="5"/>
  <c r="AK177" i="5"/>
  <c r="Z155" i="5"/>
  <c r="AA145" i="5"/>
  <c r="Z132" i="5"/>
  <c r="AJ152" i="5"/>
  <c r="AJ130" i="5"/>
  <c r="AI148" i="5"/>
  <c r="AA137" i="5"/>
  <c r="Y136" i="5"/>
  <c r="Z123" i="5"/>
  <c r="Y130" i="5"/>
  <c r="AA130" i="5"/>
  <c r="Z121" i="5"/>
  <c r="Y116" i="5"/>
  <c r="AK115" i="5"/>
  <c r="AJ108" i="5"/>
  <c r="AJ109" i="5"/>
  <c r="AJ111" i="5"/>
  <c r="AJ110" i="5"/>
  <c r="AJ112" i="5"/>
  <c r="AJ113" i="5"/>
  <c r="AJ114" i="5"/>
  <c r="Y86" i="5"/>
  <c r="Y85" i="5"/>
  <c r="Y84" i="5"/>
  <c r="AJ81" i="5"/>
  <c r="AA73" i="5"/>
  <c r="AL217" i="5"/>
  <c r="Y200" i="5"/>
  <c r="AA200" i="5"/>
  <c r="Y197" i="5"/>
  <c r="Y196" i="5"/>
  <c r="Y174" i="5"/>
  <c r="AL180" i="5"/>
  <c r="AL175" i="5"/>
  <c r="Y158" i="5"/>
  <c r="AL162" i="5"/>
  <c r="AL165" i="5"/>
  <c r="AL141" i="5"/>
  <c r="AL146" i="5"/>
  <c r="AL147" i="5"/>
  <c r="AJ137" i="5"/>
  <c r="AJ120" i="5"/>
  <c r="AJ122" i="5"/>
  <c r="AJ123" i="5"/>
  <c r="AJ125" i="5"/>
  <c r="AJ129" i="5"/>
  <c r="AJ124" i="5"/>
  <c r="AJ126" i="5"/>
  <c r="Y92" i="5"/>
  <c r="AJ103" i="5"/>
  <c r="AJ99" i="5"/>
  <c r="Y90" i="5"/>
  <c r="Z189" i="5"/>
  <c r="Z188" i="5"/>
  <c r="AA197" i="5"/>
  <c r="AL184" i="5"/>
  <c r="AI164" i="5"/>
  <c r="Y139" i="5"/>
  <c r="Y134" i="5"/>
  <c r="AK33" i="5"/>
  <c r="AL187" i="5"/>
  <c r="AL171" i="5"/>
  <c r="AL163" i="5"/>
  <c r="AA141" i="5"/>
  <c r="AI143" i="5"/>
  <c r="AK32" i="5"/>
  <c r="AA186" i="5"/>
  <c r="AK29" i="5"/>
  <c r="AI329" i="5"/>
  <c r="AI325" i="5"/>
  <c r="AI309" i="5"/>
  <c r="AK297" i="5"/>
  <c r="AL232" i="5"/>
  <c r="AL376" i="5"/>
  <c r="Y396" i="5"/>
  <c r="Y395" i="5"/>
  <c r="Y392" i="5"/>
  <c r="AJ403" i="5"/>
  <c r="AJ391" i="5"/>
  <c r="AJ395" i="5"/>
  <c r="Y391" i="5"/>
  <c r="AA391" i="5"/>
  <c r="AI236" i="5"/>
  <c r="AL362" i="5"/>
  <c r="Y367" i="5"/>
  <c r="AI357" i="5"/>
  <c r="AJ360" i="5"/>
  <c r="AJ409" i="5"/>
  <c r="Y400" i="5"/>
  <c r="Y399" i="5"/>
  <c r="AL406" i="5"/>
  <c r="AL407" i="5"/>
  <c r="Z393" i="5"/>
  <c r="AI295" i="5"/>
  <c r="AI242" i="5"/>
  <c r="AL358" i="5"/>
  <c r="Z350" i="5"/>
  <c r="AJ393" i="5"/>
  <c r="AA388" i="5"/>
  <c r="Z387" i="5"/>
  <c r="AI363" i="5"/>
  <c r="Y407" i="5"/>
  <c r="AA407" i="5"/>
  <c r="AA401" i="5"/>
  <c r="Y393" i="5"/>
  <c r="AA393" i="5"/>
  <c r="AA389" i="5"/>
  <c r="AL399" i="5"/>
  <c r="Y379" i="5"/>
  <c r="Y419" i="5"/>
  <c r="AA419" i="5"/>
  <c r="J224" i="6"/>
  <c r="AA427" i="5"/>
  <c r="Y411" i="5"/>
  <c r="J223" i="6"/>
  <c r="J219" i="6"/>
  <c r="J226" i="6"/>
  <c r="J222" i="6"/>
  <c r="AA426" i="5" l="1"/>
  <c r="AA42" i="5"/>
  <c r="Y42" i="5"/>
  <c r="AL46" i="5"/>
  <c r="AL43" i="5"/>
  <c r="AL42" i="5"/>
  <c r="AL40" i="5"/>
  <c r="AL39" i="5"/>
  <c r="AA16" i="5"/>
  <c r="Y16" i="5"/>
  <c r="AK26" i="5"/>
  <c r="AK27" i="5"/>
  <c r="AA255" i="5"/>
  <c r="AK410" i="5"/>
  <c r="Y387" i="5"/>
  <c r="AL390" i="5"/>
  <c r="AJ429" i="5"/>
  <c r="AK99" i="5"/>
  <c r="AJ415" i="5"/>
  <c r="AL47" i="5"/>
  <c r="AJ98" i="5"/>
  <c r="AJ97" i="5"/>
  <c r="AJ96" i="5"/>
  <c r="AJ93" i="5"/>
  <c r="AJ95" i="5"/>
  <c r="AJ94" i="5"/>
  <c r="AL94" i="5"/>
  <c r="AL93" i="5"/>
  <c r="AA83" i="5"/>
  <c r="AJ84" i="5"/>
  <c r="AJ83" i="5"/>
  <c r="AA76" i="5"/>
  <c r="AJ82" i="5"/>
  <c r="AJ85" i="5"/>
  <c r="AJ87" i="5"/>
  <c r="Y76" i="5"/>
  <c r="AA71" i="5"/>
  <c r="Y71" i="5"/>
  <c r="AL80" i="5"/>
  <c r="AL82" i="5"/>
  <c r="Y68" i="5"/>
  <c r="AL78" i="5"/>
  <c r="AL76" i="5"/>
  <c r="AL77" i="5"/>
  <c r="AL79" i="5"/>
  <c r="AL73" i="5"/>
  <c r="Y64" i="5"/>
  <c r="AI72" i="5"/>
  <c r="AA64" i="5"/>
  <c r="AI75" i="5"/>
  <c r="AK73" i="5"/>
  <c r="AK71" i="5"/>
  <c r="AI63" i="5"/>
  <c r="Y60" i="5"/>
  <c r="AI66" i="5"/>
  <c r="AI67" i="5"/>
  <c r="AI70" i="5"/>
  <c r="AI69" i="5"/>
  <c r="AL68" i="5"/>
  <c r="Y57" i="5"/>
  <c r="AA57" i="5"/>
  <c r="AJ65" i="5"/>
  <c r="AJ60" i="5"/>
  <c r="AJ66" i="5"/>
  <c r="AJ62" i="5"/>
  <c r="AJ57" i="5"/>
  <c r="AJ56" i="5"/>
  <c r="AA47" i="5"/>
  <c r="Y235" i="5"/>
  <c r="AA235" i="5"/>
  <c r="AA233" i="5"/>
  <c r="Y233" i="5"/>
  <c r="AJ242" i="5"/>
  <c r="AJ234" i="5"/>
  <c r="AJ233" i="5"/>
  <c r="AI424" i="5"/>
  <c r="AA414" i="5"/>
  <c r="AJ420" i="5"/>
  <c r="AJ416" i="5"/>
  <c r="AJ412" i="5"/>
  <c r="AJ417" i="5"/>
  <c r="AJ423" i="5"/>
  <c r="Y423" i="5"/>
  <c r="AA415" i="5"/>
  <c r="AK422" i="5"/>
  <c r="AA229" i="5"/>
  <c r="AJ424" i="5"/>
  <c r="AL424" i="5"/>
  <c r="AL423" i="5"/>
  <c r="AI422" i="5"/>
  <c r="AI423" i="5"/>
  <c r="AI414" i="5"/>
  <c r="AI417" i="5"/>
  <c r="AI413" i="5"/>
  <c r="AI421" i="5"/>
  <c r="AK420" i="5"/>
  <c r="AK417" i="5"/>
  <c r="AK418" i="5"/>
  <c r="AK421" i="5"/>
  <c r="AJ426" i="5"/>
  <c r="AI412" i="5"/>
  <c r="AA265" i="5"/>
  <c r="Y335" i="5"/>
  <c r="AA335" i="5"/>
  <c r="Y333" i="5"/>
  <c r="AA333" i="5"/>
  <c r="AA331" i="5"/>
  <c r="Y331" i="5"/>
  <c r="AJ335" i="5"/>
  <c r="Y325" i="5"/>
  <c r="AL218" i="5"/>
  <c r="AL219" i="5"/>
  <c r="AI225" i="5"/>
  <c r="AI227" i="5"/>
  <c r="AI380" i="5"/>
  <c r="AI378" i="5"/>
  <c r="Y373" i="5"/>
  <c r="AI391" i="5"/>
  <c r="AI387" i="5"/>
  <c r="AI388" i="5"/>
  <c r="Y375" i="5"/>
  <c r="AI385" i="5"/>
  <c r="AI427" i="5"/>
  <c r="AA417" i="5"/>
  <c r="AI426" i="5"/>
  <c r="AK425" i="5"/>
  <c r="AK424" i="5"/>
  <c r="Y415" i="5"/>
  <c r="AJ237" i="5"/>
  <c r="AK414" i="5"/>
  <c r="Z271" i="5"/>
  <c r="AA20" i="5"/>
  <c r="AL24" i="5"/>
  <c r="AL25" i="5"/>
  <c r="AI416" i="5"/>
  <c r="Y414" i="5"/>
  <c r="AI226" i="5"/>
  <c r="AL210" i="5"/>
  <c r="AL206" i="5"/>
  <c r="AL205" i="5"/>
  <c r="AL211" i="5"/>
  <c r="AJ203" i="5"/>
  <c r="AL203" i="5"/>
  <c r="AJ195" i="5"/>
  <c r="AJ201" i="5"/>
  <c r="AJ194" i="5"/>
  <c r="AJ193" i="5"/>
  <c r="AJ191" i="5"/>
  <c r="AK107" i="5"/>
  <c r="Y98" i="5"/>
  <c r="AK109" i="5"/>
  <c r="Y97" i="5"/>
  <c r="AI97" i="5"/>
  <c r="AK103" i="5"/>
  <c r="AK102" i="5"/>
  <c r="AK98" i="5"/>
  <c r="Y95" i="5"/>
  <c r="AK100" i="5"/>
  <c r="AK105" i="5"/>
  <c r="AA155" i="5"/>
  <c r="Y155" i="5"/>
  <c r="AI165" i="5"/>
  <c r="AI162" i="5"/>
  <c r="AK163" i="5"/>
  <c r="AK161" i="5"/>
  <c r="AA139" i="5"/>
  <c r="Z139" i="5"/>
  <c r="AA143" i="5"/>
  <c r="AI147" i="5"/>
  <c r="AI146" i="5"/>
  <c r="AK147" i="5"/>
  <c r="AK145" i="5"/>
  <c r="AK148" i="5"/>
  <c r="AK146" i="5"/>
  <c r="AA134" i="5"/>
  <c r="AI145" i="5"/>
  <c r="AK143" i="5"/>
  <c r="AK141" i="5"/>
  <c r="AA132" i="5"/>
  <c r="AA129" i="5"/>
  <c r="AK140" i="5"/>
  <c r="AK137" i="5"/>
  <c r="AI131" i="5"/>
  <c r="AA122" i="5"/>
  <c r="Y119" i="5"/>
  <c r="AA119" i="5"/>
  <c r="Y117" i="5"/>
  <c r="AK125" i="5"/>
  <c r="AK120" i="5"/>
  <c r="AA117" i="5"/>
  <c r="AK119" i="5"/>
  <c r="AI116" i="5"/>
  <c r="Y107" i="5"/>
  <c r="AI114" i="5"/>
  <c r="AI113" i="5"/>
  <c r="Y105" i="5"/>
  <c r="AK111" i="5"/>
  <c r="AK116" i="5"/>
  <c r="AA105" i="5"/>
  <c r="AJ243" i="5"/>
  <c r="Y44" i="5"/>
  <c r="AJ53" i="5"/>
  <c r="AJ55" i="5"/>
  <c r="AL195" i="5"/>
  <c r="AL198" i="5"/>
  <c r="AL194" i="5"/>
  <c r="AL200" i="5"/>
  <c r="AL196" i="5"/>
  <c r="AL191" i="5"/>
  <c r="AA95" i="5"/>
  <c r="AJ184" i="5"/>
  <c r="AJ230" i="5"/>
  <c r="AJ338" i="5"/>
  <c r="AA325" i="5"/>
  <c r="AF334" i="5" s="1"/>
  <c r="AI382" i="5"/>
  <c r="AL427" i="5"/>
  <c r="AK101" i="5"/>
  <c r="AK411" i="5"/>
  <c r="AI425" i="5"/>
  <c r="Y20" i="5"/>
  <c r="AJ418" i="5"/>
  <c r="AA249" i="5"/>
  <c r="Z428" i="5"/>
  <c r="AJ428" i="5"/>
  <c r="AJ188" i="5"/>
  <c r="Y412" i="5"/>
  <c r="AJ79" i="5"/>
  <c r="AJ77" i="5"/>
  <c r="AK65" i="5"/>
  <c r="AI64" i="5"/>
  <c r="AL57" i="5"/>
  <c r="AL402" i="5"/>
  <c r="AL392" i="5"/>
  <c r="AJ405" i="5"/>
  <c r="AL181" i="5"/>
  <c r="AJ176" i="5"/>
  <c r="AI62" i="5"/>
  <c r="AK398" i="5"/>
  <c r="AL381" i="5"/>
  <c r="AA342" i="5"/>
  <c r="AL391" i="5"/>
  <c r="Y173" i="5"/>
  <c r="AI201" i="5"/>
  <c r="AA190" i="5"/>
  <c r="AK199" i="5"/>
  <c r="AK198" i="5"/>
  <c r="AK197" i="5"/>
  <c r="Y187" i="5"/>
  <c r="AI198" i="5"/>
  <c r="AA187" i="5"/>
  <c r="AI197" i="5"/>
  <c r="AK194" i="5"/>
  <c r="AA172" i="5"/>
  <c r="Z172" i="5"/>
  <c r="AA232" i="5"/>
  <c r="AA230" i="5"/>
  <c r="AA228" i="5"/>
  <c r="AA226" i="5"/>
  <c r="Y226" i="5"/>
  <c r="AA224" i="5"/>
  <c r="AL231" i="5"/>
  <c r="AL417" i="5"/>
  <c r="AA406" i="5"/>
  <c r="Y406" i="5"/>
  <c r="AK413" i="5"/>
  <c r="AK415" i="5"/>
  <c r="AK412" i="5"/>
  <c r="AJ408" i="5"/>
  <c r="AJ406" i="5"/>
  <c r="Y394" i="5"/>
  <c r="AA394" i="5"/>
  <c r="AI404" i="5"/>
  <c r="AK401" i="5"/>
  <c r="Z390" i="5"/>
  <c r="AE401" i="5" s="1"/>
  <c r="AJ396" i="5"/>
  <c r="AA380" i="5"/>
  <c r="Y380" i="5"/>
  <c r="AK390" i="5"/>
  <c r="AA377" i="5"/>
  <c r="AK386" i="5"/>
  <c r="AK385" i="5"/>
  <c r="Y374" i="5"/>
  <c r="AA374" i="5"/>
  <c r="Y420" i="5"/>
  <c r="AL385" i="5"/>
  <c r="AA397" i="5"/>
  <c r="AL394" i="5"/>
  <c r="AK429" i="5"/>
  <c r="Y17" i="5"/>
  <c r="AI199" i="5"/>
  <c r="AK48" i="5"/>
  <c r="AJ174" i="5"/>
  <c r="AI57" i="5"/>
  <c r="AK201" i="5"/>
  <c r="AK402" i="5"/>
  <c r="AL384" i="5"/>
  <c r="AJ155" i="5"/>
  <c r="AK392" i="5"/>
  <c r="AI406" i="5"/>
  <c r="AK403" i="5"/>
  <c r="Y152" i="5"/>
  <c r="Y70" i="5"/>
  <c r="AI78" i="5"/>
  <c r="AI76" i="5"/>
  <c r="Y67" i="5"/>
  <c r="AI73" i="5"/>
  <c r="AA63" i="5"/>
  <c r="AI74" i="5"/>
  <c r="AK61" i="5"/>
  <c r="AJ59" i="5"/>
  <c r="AJ51" i="5"/>
  <c r="AJ52" i="5"/>
  <c r="AL48" i="5"/>
  <c r="AL50" i="5"/>
  <c r="Y19" i="5"/>
  <c r="AL283" i="5"/>
  <c r="AL282" i="5"/>
  <c r="AL274" i="5"/>
  <c r="AL393" i="5"/>
  <c r="AL167" i="5"/>
  <c r="Z252" i="5"/>
  <c r="AA252" i="5"/>
  <c r="AK416" i="5"/>
  <c r="AK419" i="5"/>
  <c r="AA404" i="5"/>
  <c r="AJ413" i="5"/>
  <c r="AJ414" i="5"/>
  <c r="AJ402" i="5"/>
  <c r="AJ401" i="5"/>
  <c r="AJ400" i="5"/>
  <c r="AA392" i="5"/>
  <c r="AK427" i="5"/>
  <c r="Y397" i="5"/>
  <c r="AA387" i="5"/>
  <c r="AF398" i="5" s="1"/>
  <c r="AI56" i="5"/>
  <c r="Y154" i="5"/>
  <c r="AK47" i="5"/>
  <c r="AJ177" i="5"/>
  <c r="AK196" i="5"/>
  <c r="Y369" i="5"/>
  <c r="AJ159" i="5"/>
  <c r="AK391" i="5"/>
  <c r="AA420" i="5"/>
  <c r="Y404" i="5"/>
  <c r="AJ160" i="5"/>
  <c r="AJ148" i="5"/>
  <c r="AJ136" i="5"/>
  <c r="AL135" i="5"/>
  <c r="AJ101" i="5"/>
  <c r="AJ100" i="5"/>
  <c r="AJ90" i="5"/>
  <c r="AL72" i="5"/>
  <c r="AL71" i="5"/>
  <c r="AL75" i="5"/>
  <c r="Y56" i="5"/>
  <c r="AA56" i="5"/>
  <c r="AJ61" i="5"/>
  <c r="AK57" i="5"/>
  <c r="AK54" i="5"/>
  <c r="AA41" i="5"/>
  <c r="AI51" i="5"/>
  <c r="Y41" i="5"/>
  <c r="Z45" i="5"/>
  <c r="AL45" i="5"/>
  <c r="Y34" i="5"/>
  <c r="AK30" i="5"/>
  <c r="AI25" i="5"/>
  <c r="AI377" i="5"/>
  <c r="AJ185" i="5"/>
  <c r="AK404" i="5"/>
  <c r="AK59" i="5"/>
  <c r="AI54" i="5"/>
  <c r="AI53" i="5"/>
  <c r="AA43" i="5"/>
  <c r="Y43" i="5"/>
  <c r="AK24" i="5"/>
  <c r="Z322" i="5"/>
  <c r="AA322" i="5"/>
  <c r="Z260" i="5"/>
  <c r="AA260" i="5"/>
  <c r="Y390" i="5"/>
  <c r="AA390" i="5"/>
  <c r="AL389" i="5"/>
  <c r="AA402" i="5"/>
  <c r="AJ397" i="5"/>
  <c r="AK58" i="5"/>
  <c r="AL155" i="5"/>
  <c r="Y166" i="5"/>
  <c r="AK53" i="5"/>
  <c r="AJ186" i="5"/>
  <c r="AK195" i="5"/>
  <c r="AJ163" i="5"/>
  <c r="AI173" i="5"/>
  <c r="AI172" i="5"/>
  <c r="AI170" i="5"/>
  <c r="Z143" i="5"/>
  <c r="AI149" i="5"/>
  <c r="AA135" i="5"/>
  <c r="Y114" i="5"/>
  <c r="Y111" i="5"/>
  <c r="AA111" i="5"/>
  <c r="AK110" i="5"/>
  <c r="AA85" i="5"/>
  <c r="AA87" i="5"/>
  <c r="AI88" i="5"/>
  <c r="AA75" i="5"/>
  <c r="Y75" i="5"/>
  <c r="AA72" i="5"/>
  <c r="Y72" i="5"/>
  <c r="AK77" i="5"/>
  <c r="AK76" i="5"/>
  <c r="AL160" i="5"/>
  <c r="AJ72" i="5"/>
  <c r="AI61" i="5"/>
  <c r="AI60" i="5"/>
  <c r="Z334" i="5"/>
  <c r="AA334" i="5"/>
  <c r="AK406" i="5"/>
  <c r="AK407" i="5"/>
  <c r="AL409" i="5"/>
  <c r="AJ398" i="5"/>
  <c r="AJ407" i="5"/>
  <c r="AL62" i="5"/>
  <c r="AL61" i="5"/>
  <c r="AJ179" i="5"/>
  <c r="AK405" i="5"/>
  <c r="Y356" i="5"/>
  <c r="AJ67" i="5"/>
  <c r="AA324" i="5"/>
  <c r="AJ206" i="5"/>
  <c r="AL201" i="5"/>
  <c r="AL192" i="5"/>
  <c r="AJ192" i="5"/>
  <c r="AJ183" i="5"/>
  <c r="AJ182" i="5"/>
  <c r="AL179" i="5"/>
  <c r="AJ169" i="5"/>
  <c r="AJ170" i="5"/>
  <c r="AJ168" i="5"/>
  <c r="AL157" i="5"/>
  <c r="AJ156" i="5"/>
  <c r="AJ151" i="5"/>
  <c r="AJ139" i="5"/>
  <c r="AA124" i="5"/>
  <c r="AL133" i="5"/>
  <c r="AA121" i="5"/>
  <c r="AJ127" i="5"/>
  <c r="Y109" i="5"/>
  <c r="AJ117" i="5"/>
  <c r="AJ115" i="5"/>
  <c r="AJ116" i="5"/>
  <c r="AA107" i="5"/>
  <c r="Y102" i="5"/>
  <c r="Y66" i="5"/>
  <c r="AJ76" i="5"/>
  <c r="AK70" i="5"/>
  <c r="AI68" i="5"/>
  <c r="AI55" i="5"/>
  <c r="Y46" i="5"/>
  <c r="AI34" i="5"/>
  <c r="AJ399" i="5"/>
  <c r="Y388" i="5"/>
  <c r="AL396" i="5"/>
  <c r="Y386" i="5"/>
  <c r="AL395" i="5"/>
  <c r="AJ172" i="5"/>
  <c r="AJ173" i="5"/>
  <c r="Y161" i="5"/>
  <c r="AL172" i="5"/>
  <c r="AJ164" i="5"/>
  <c r="AJ162" i="5"/>
  <c r="Y263" i="5"/>
  <c r="AA263" i="5"/>
  <c r="AI262" i="5"/>
  <c r="Y251" i="5"/>
  <c r="AI261" i="5"/>
  <c r="AA247" i="5"/>
  <c r="AI258" i="5"/>
  <c r="AA241" i="5"/>
  <c r="AI241" i="5"/>
  <c r="AI243" i="5"/>
  <c r="Z370" i="5"/>
  <c r="AA370" i="5"/>
  <c r="AK397" i="5"/>
  <c r="AK396" i="5"/>
  <c r="AL386" i="5"/>
  <c r="AL401" i="5"/>
  <c r="AL404" i="5"/>
  <c r="AL178" i="5"/>
  <c r="AJ167" i="5"/>
  <c r="AI400" i="5"/>
  <c r="AK395" i="5"/>
  <c r="AL400" i="5"/>
  <c r="AL164" i="5"/>
  <c r="AJ180" i="5"/>
  <c r="AJ165" i="5"/>
  <c r="AA237" i="5"/>
  <c r="Z254" i="5"/>
  <c r="AI206" i="5"/>
  <c r="AI202" i="5"/>
  <c r="AK202" i="5"/>
  <c r="AK191" i="5"/>
  <c r="AI180" i="5"/>
  <c r="AK172" i="5"/>
  <c r="Y157" i="5"/>
  <c r="AI168" i="5"/>
  <c r="AA400" i="5"/>
  <c r="AI411" i="5"/>
  <c r="AK409" i="5"/>
  <c r="Z199" i="5"/>
  <c r="Z175" i="5"/>
  <c r="Y179" i="5"/>
  <c r="Z166" i="5"/>
  <c r="AL139" i="5"/>
  <c r="Y122" i="5"/>
  <c r="Z103" i="5"/>
  <c r="AE114" i="5" s="1"/>
  <c r="AA53" i="5"/>
  <c r="Z52" i="5"/>
  <c r="Z51" i="5"/>
  <c r="AA21" i="5"/>
  <c r="AJ419" i="5"/>
  <c r="AI212" i="5"/>
  <c r="AA174" i="5"/>
  <c r="AL185" i="5"/>
  <c r="Y132" i="5"/>
  <c r="AD140" i="5" s="1"/>
  <c r="AL136" i="5"/>
  <c r="AL138" i="5"/>
  <c r="Z116" i="5"/>
  <c r="AE117" i="5" s="1"/>
  <c r="AA88" i="5"/>
  <c r="AK78" i="5"/>
  <c r="AA68" i="5"/>
  <c r="Z65" i="5"/>
  <c r="AA62" i="5"/>
  <c r="Z50" i="5"/>
  <c r="Z26" i="5"/>
  <c r="AA24" i="5"/>
  <c r="AA264" i="5"/>
  <c r="AL429" i="5"/>
  <c r="AA429" i="5"/>
  <c r="Y424" i="5"/>
  <c r="AA422" i="5"/>
  <c r="AA376" i="5"/>
  <c r="Z186" i="5"/>
  <c r="Z183" i="5"/>
  <c r="Z161" i="5"/>
  <c r="AK176" i="5"/>
  <c r="Y165" i="5"/>
  <c r="AK165" i="5"/>
  <c r="AI167" i="5"/>
  <c r="Z137" i="5"/>
  <c r="Y141" i="5"/>
  <c r="Z125" i="5"/>
  <c r="Z113" i="5"/>
  <c r="Z101" i="5"/>
  <c r="AK117" i="5"/>
  <c r="Z92" i="5"/>
  <c r="AA96" i="5"/>
  <c r="AJ92" i="5"/>
  <c r="Z70" i="5"/>
  <c r="Z367" i="5"/>
  <c r="Z414" i="5"/>
  <c r="Y188" i="5"/>
  <c r="AL347" i="5"/>
  <c r="AL341" i="5"/>
  <c r="Y307" i="5"/>
  <c r="AL314" i="5"/>
  <c r="AL307" i="5"/>
  <c r="AL291" i="5"/>
  <c r="Y265" i="5"/>
  <c r="AL264" i="5"/>
  <c r="AL263" i="5"/>
  <c r="Y247" i="5"/>
  <c r="AA357" i="5"/>
  <c r="AI186" i="5"/>
  <c r="AA176" i="5"/>
  <c r="AK330" i="5"/>
  <c r="AA269" i="5"/>
  <c r="AK268" i="5"/>
  <c r="AJ377" i="5"/>
  <c r="Y361" i="5"/>
  <c r="Z141" i="5"/>
  <c r="Z129" i="5"/>
  <c r="Z83" i="5"/>
  <c r="Z71" i="5"/>
  <c r="AA13" i="5"/>
  <c r="AA321" i="5"/>
  <c r="Y305" i="5"/>
  <c r="Y236" i="5"/>
  <c r="Y228" i="5"/>
  <c r="AI415" i="5"/>
  <c r="Z400" i="5"/>
  <c r="Z388" i="5"/>
  <c r="Z422" i="5"/>
  <c r="Z326" i="5"/>
  <c r="Z320" i="5"/>
  <c r="Z304" i="5"/>
  <c r="Z296" i="5"/>
  <c r="AA284" i="5"/>
  <c r="AA277" i="5"/>
  <c r="AF287" i="5" s="1"/>
  <c r="AA251" i="5"/>
  <c r="AI246" i="5"/>
  <c r="Z218" i="5"/>
  <c r="Z371" i="5"/>
  <c r="Z361" i="5"/>
  <c r="Z359" i="5"/>
  <c r="Z382" i="5"/>
  <c r="Z266" i="5"/>
  <c r="Z262" i="5"/>
  <c r="Z258" i="5"/>
  <c r="AE265" i="5" s="1"/>
  <c r="Z246" i="5"/>
  <c r="Z236" i="5"/>
  <c r="Z230" i="5"/>
  <c r="Z226" i="5"/>
  <c r="AA218" i="5"/>
  <c r="AA369" i="5"/>
  <c r="Z353" i="5"/>
  <c r="Z349" i="5"/>
  <c r="Z345" i="5"/>
  <c r="Z114" i="5"/>
  <c r="Z60" i="5"/>
  <c r="AE65" i="5" s="1"/>
  <c r="Z42" i="5"/>
  <c r="Z35" i="5"/>
  <c r="AE42" i="5" s="1"/>
  <c r="AJ44" i="5"/>
  <c r="AL27" i="5"/>
  <c r="Z18" i="5"/>
  <c r="Y310" i="5"/>
  <c r="AA298" i="5"/>
  <c r="AA290" i="5"/>
  <c r="AK288" i="5"/>
  <c r="Z368" i="5"/>
  <c r="Y355" i="5"/>
  <c r="Z374" i="5"/>
  <c r="Z427" i="5"/>
  <c r="Y193" i="5"/>
  <c r="Z157" i="5"/>
  <c r="AK155" i="5"/>
  <c r="Z99" i="5"/>
  <c r="Z68" i="5"/>
  <c r="Z63" i="5"/>
  <c r="AA17" i="5"/>
  <c r="Y13" i="5"/>
  <c r="Y260" i="5"/>
  <c r="Y256" i="5"/>
  <c r="Y372" i="5"/>
  <c r="AL379" i="5"/>
  <c r="Z394" i="5"/>
  <c r="Z423" i="5"/>
  <c r="Z66" i="5"/>
  <c r="AA22" i="5"/>
  <c r="Z341" i="5"/>
  <c r="Z335" i="5"/>
  <c r="Z321" i="5"/>
  <c r="Z223" i="5"/>
  <c r="Y216" i="5"/>
  <c r="Y353" i="5"/>
  <c r="Z392" i="5"/>
  <c r="AE403" i="5" s="1"/>
  <c r="Z122" i="5"/>
  <c r="AK118" i="5"/>
  <c r="Z98" i="5"/>
  <c r="AE103" i="5" s="1"/>
  <c r="AL106" i="5"/>
  <c r="AL109" i="5"/>
  <c r="Y99" i="5"/>
  <c r="AA39" i="5"/>
  <c r="AI50" i="5"/>
  <c r="AI46" i="5"/>
  <c r="AI44" i="5"/>
  <c r="AI49" i="5"/>
  <c r="AI47" i="5"/>
  <c r="Y39" i="5"/>
  <c r="AA32" i="5"/>
  <c r="AI40" i="5"/>
  <c r="AI42" i="5"/>
  <c r="Y32" i="5"/>
  <c r="AI43" i="5"/>
  <c r="AI33" i="5"/>
  <c r="AJ46" i="5"/>
  <c r="AI154" i="5"/>
  <c r="AI156" i="5"/>
  <c r="AI152" i="5"/>
  <c r="AK139" i="5"/>
  <c r="Y128" i="5"/>
  <c r="AI136" i="5"/>
  <c r="AI135" i="5"/>
  <c r="AA123" i="5"/>
  <c r="AI130" i="5"/>
  <c r="Y123" i="5"/>
  <c r="AI132" i="5"/>
  <c r="AI134" i="5"/>
  <c r="AK129" i="5"/>
  <c r="AK127" i="5"/>
  <c r="AK130" i="5"/>
  <c r="AK128" i="5"/>
  <c r="AK124" i="5"/>
  <c r="AK121" i="5"/>
  <c r="AK122" i="5"/>
  <c r="Y118" i="5"/>
  <c r="AI123" i="5"/>
  <c r="AI119" i="5"/>
  <c r="AI122" i="5"/>
  <c r="AI127" i="5"/>
  <c r="AI129" i="5"/>
  <c r="AJ369" i="5"/>
  <c r="AJ362" i="5"/>
  <c r="AJ366" i="5"/>
  <c r="AJ370" i="5"/>
  <c r="AA345" i="5"/>
  <c r="AJ356" i="5"/>
  <c r="Y345" i="5"/>
  <c r="Z411" i="5"/>
  <c r="AA411" i="5"/>
  <c r="AL421" i="5"/>
  <c r="AL413" i="5"/>
  <c r="AL418" i="5"/>
  <c r="AL416" i="5"/>
  <c r="AA410" i="5"/>
  <c r="AD143" i="5"/>
  <c r="AI196" i="5"/>
  <c r="Y203" i="5"/>
  <c r="AK193" i="5"/>
  <c r="AK126" i="5"/>
  <c r="AJ45" i="5"/>
  <c r="AA112" i="5"/>
  <c r="AK183" i="5"/>
  <c r="AI209" i="5"/>
  <c r="AJ144" i="5"/>
  <c r="AJ138" i="5"/>
  <c r="AJ143" i="5"/>
  <c r="AJ140" i="5"/>
  <c r="Y276" i="5"/>
  <c r="AA276" i="5"/>
  <c r="AI286" i="5"/>
  <c r="AI287" i="5"/>
  <c r="Y273" i="5"/>
  <c r="AA273" i="5"/>
  <c r="AK284" i="5"/>
  <c r="AK283" i="5"/>
  <c r="AK282" i="5"/>
  <c r="Y269" i="5"/>
  <c r="AK278" i="5"/>
  <c r="AK277" i="5"/>
  <c r="Y268" i="5"/>
  <c r="AI268" i="5"/>
  <c r="AI273" i="5"/>
  <c r="AI269" i="5"/>
  <c r="AI272" i="5"/>
  <c r="AJ232" i="5"/>
  <c r="AJ229" i="5"/>
  <c r="AJ226" i="5"/>
  <c r="AJ225" i="5"/>
  <c r="AJ222" i="5"/>
  <c r="Z219" i="5"/>
  <c r="AA219" i="5"/>
  <c r="AA221" i="5"/>
  <c r="Y221" i="5"/>
  <c r="AI231" i="5"/>
  <c r="AI232" i="5"/>
  <c r="AI228" i="5"/>
  <c r="Y215" i="5"/>
  <c r="AI223" i="5"/>
  <c r="AI224" i="5"/>
  <c r="Z213" i="5"/>
  <c r="AA213" i="5"/>
  <c r="AK218" i="5"/>
  <c r="AA211" i="5"/>
  <c r="AI221" i="5"/>
  <c r="AI222" i="5"/>
  <c r="AI220" i="5"/>
  <c r="AI219" i="5"/>
  <c r="Y371" i="5"/>
  <c r="AA371" i="5"/>
  <c r="AK382" i="5"/>
  <c r="AK372" i="5"/>
  <c r="AK371" i="5"/>
  <c r="AK379" i="5"/>
  <c r="Y368" i="5"/>
  <c r="AK374" i="5"/>
  <c r="AK373" i="5"/>
  <c r="AK365" i="5"/>
  <c r="AK364" i="5"/>
  <c r="Z351" i="5"/>
  <c r="AA351" i="5"/>
  <c r="AK359" i="5"/>
  <c r="AK361" i="5"/>
  <c r="AK360" i="5"/>
  <c r="AI356" i="5"/>
  <c r="AI350" i="5"/>
  <c r="AI351" i="5"/>
  <c r="Z347" i="5"/>
  <c r="Y346" i="5"/>
  <c r="Y418" i="5"/>
  <c r="AI420" i="5"/>
  <c r="AI418" i="5"/>
  <c r="Z412" i="5"/>
  <c r="AA412" i="5"/>
  <c r="AI110" i="5"/>
  <c r="AI111" i="5"/>
  <c r="AA100" i="5"/>
  <c r="AJ47" i="5"/>
  <c r="AJ48" i="5"/>
  <c r="AJ49" i="5"/>
  <c r="Z36" i="5"/>
  <c r="AA36" i="5"/>
  <c r="AJ33" i="5"/>
  <c r="AK159" i="5"/>
  <c r="AK158" i="5"/>
  <c r="AK152" i="5"/>
  <c r="Y149" i="5"/>
  <c r="AK156" i="5"/>
  <c r="AK150" i="5"/>
  <c r="AK135" i="5"/>
  <c r="AK136" i="5"/>
  <c r="AK133" i="5"/>
  <c r="AK134" i="5"/>
  <c r="AK132" i="5"/>
  <c r="Y125" i="5"/>
  <c r="AA366" i="5"/>
  <c r="AI372" i="5"/>
  <c r="AI370" i="5"/>
  <c r="AI369" i="5"/>
  <c r="AI366" i="5"/>
  <c r="AL372" i="5"/>
  <c r="AL365" i="5"/>
  <c r="AL374" i="5"/>
  <c r="AL348" i="5"/>
  <c r="AL356" i="5"/>
  <c r="AL355" i="5"/>
  <c r="AL351" i="5"/>
  <c r="AL354" i="5"/>
  <c r="AI204" i="5"/>
  <c r="AA99" i="5"/>
  <c r="AI213" i="5"/>
  <c r="Y38" i="5"/>
  <c r="AK123" i="5"/>
  <c r="AK154" i="5"/>
  <c r="AI45" i="5"/>
  <c r="AA304" i="5"/>
  <c r="AL214" i="5"/>
  <c r="AL207" i="5"/>
  <c r="AL212" i="5"/>
  <c r="AL209" i="5"/>
  <c r="AL213" i="5"/>
  <c r="AL204" i="5"/>
  <c r="AJ202" i="5"/>
  <c r="AJ207" i="5"/>
  <c r="Y201" i="5"/>
  <c r="AL186" i="5"/>
  <c r="AL183" i="5"/>
  <c r="AK190" i="5"/>
  <c r="Y178" i="5"/>
  <c r="AI179" i="5"/>
  <c r="AI184" i="5"/>
  <c r="AI181" i="5"/>
  <c r="AI188" i="5"/>
  <c r="AI178" i="5"/>
  <c r="AK185" i="5"/>
  <c r="AK187" i="5"/>
  <c r="AK182" i="5"/>
  <c r="AK184" i="5"/>
  <c r="AK324" i="5"/>
  <c r="AK323" i="5"/>
  <c r="AK322" i="5"/>
  <c r="AA313" i="5"/>
  <c r="AI322" i="5"/>
  <c r="AK321" i="5"/>
  <c r="AK320" i="5"/>
  <c r="AK318" i="5"/>
  <c r="AI317" i="5"/>
  <c r="AK315" i="5"/>
  <c r="AK314" i="5"/>
  <c r="AK313" i="5"/>
  <c r="AK311" i="5"/>
  <c r="AK310" i="5"/>
  <c r="AI311" i="5"/>
  <c r="Y301" i="5"/>
  <c r="AK306" i="5"/>
  <c r="AK309" i="5"/>
  <c r="AA297" i="5"/>
  <c r="AI306" i="5"/>
  <c r="AI307" i="5"/>
  <c r="AK305" i="5"/>
  <c r="AK303" i="5"/>
  <c r="AI297" i="5"/>
  <c r="AA285" i="5"/>
  <c r="AI296" i="5"/>
  <c r="Y285" i="5"/>
  <c r="AI293" i="5"/>
  <c r="AK292" i="5"/>
  <c r="AK291" i="5"/>
  <c r="AI289" i="5"/>
  <c r="AI288" i="5"/>
  <c r="AI291" i="5"/>
  <c r="AI292" i="5"/>
  <c r="AI290" i="5"/>
  <c r="Z279" i="5"/>
  <c r="AL289" i="5"/>
  <c r="AL288" i="5"/>
  <c r="AL287" i="5"/>
  <c r="AL286" i="5"/>
  <c r="AL285" i="5"/>
  <c r="AL284" i="5"/>
  <c r="AJ286" i="5"/>
  <c r="AK36" i="5"/>
  <c r="AK42" i="5"/>
  <c r="AK34" i="5"/>
  <c r="AK44" i="5"/>
  <c r="AK45" i="5"/>
  <c r="AK39" i="5"/>
  <c r="AK40" i="5"/>
  <c r="AA29" i="5"/>
  <c r="Z29" i="5"/>
  <c r="AK217" i="5"/>
  <c r="Y206" i="5"/>
  <c r="AI214" i="5"/>
  <c r="AI211" i="5"/>
  <c r="AI215" i="5"/>
  <c r="AA185" i="5"/>
  <c r="AI195" i="5"/>
  <c r="Y185" i="5"/>
  <c r="AA319" i="5"/>
  <c r="AF328" i="5" s="1"/>
  <c r="AL328" i="5"/>
  <c r="AJ325" i="5"/>
  <c r="AA310" i="5"/>
  <c r="AJ320" i="5"/>
  <c r="AA308" i="5"/>
  <c r="Z308" i="5"/>
  <c r="AJ316" i="5"/>
  <c r="Y306" i="5"/>
  <c r="AL313" i="5"/>
  <c r="AL312" i="5"/>
  <c r="AL311" i="5"/>
  <c r="AA303" i="5"/>
  <c r="Z300" i="5"/>
  <c r="AA300" i="5"/>
  <c r="AL310" i="5"/>
  <c r="AL309" i="5"/>
  <c r="AL308" i="5"/>
  <c r="AL305" i="5"/>
  <c r="AL304" i="5"/>
  <c r="AL303" i="5"/>
  <c r="AJ305" i="5"/>
  <c r="Y294" i="5"/>
  <c r="AA294" i="5"/>
  <c r="Z292" i="5"/>
  <c r="AA292" i="5"/>
  <c r="AL302" i="5"/>
  <c r="AL301" i="5"/>
  <c r="AL300" i="5"/>
  <c r="AA288" i="5"/>
  <c r="Z288" i="5"/>
  <c r="AL297" i="5"/>
  <c r="AL296" i="5"/>
  <c r="AL295" i="5"/>
  <c r="AA287" i="5"/>
  <c r="AA286" i="5"/>
  <c r="AJ294" i="5"/>
  <c r="AJ289" i="5"/>
  <c r="AA282" i="5"/>
  <c r="AK285" i="5"/>
  <c r="AA278" i="5"/>
  <c r="AK289" i="5"/>
  <c r="AA368" i="5"/>
  <c r="AI151" i="5"/>
  <c r="AK131" i="5"/>
  <c r="AK214" i="5"/>
  <c r="AI124" i="5"/>
  <c r="AK153" i="5"/>
  <c r="AI108" i="5"/>
  <c r="Y150" i="5"/>
  <c r="AI194" i="5"/>
  <c r="AK138" i="5"/>
  <c r="AK210" i="5"/>
  <c r="AI36" i="5"/>
  <c r="AL420" i="5"/>
  <c r="AK160" i="5"/>
  <c r="AL107" i="5"/>
  <c r="AL290" i="5"/>
  <c r="AK186" i="5"/>
  <c r="Y100" i="5"/>
  <c r="AD111" i="5" s="1"/>
  <c r="AA150" i="5"/>
  <c r="AI137" i="5"/>
  <c r="AA40" i="5"/>
  <c r="AK208" i="5"/>
  <c r="AA204" i="5"/>
  <c r="Y410" i="5"/>
  <c r="Y290" i="5"/>
  <c r="AI373" i="5"/>
  <c r="AL364" i="5"/>
  <c r="Y278" i="5"/>
  <c r="AJ39" i="5"/>
  <c r="AJ38" i="5"/>
  <c r="AJ37" i="5"/>
  <c r="AJ42" i="5"/>
  <c r="AJ41" i="5"/>
  <c r="AJ43" i="5"/>
  <c r="AJ40" i="5"/>
  <c r="AA44" i="5"/>
  <c r="AI101" i="5"/>
  <c r="AL108" i="5"/>
  <c r="AJ215" i="5"/>
  <c r="AJ214" i="5"/>
  <c r="AA208" i="5"/>
  <c r="AK209" i="5"/>
  <c r="AK204" i="5"/>
  <c r="AK206" i="5"/>
  <c r="AK207" i="5"/>
  <c r="AK212" i="5"/>
  <c r="AK192" i="5"/>
  <c r="AA182" i="5"/>
  <c r="AJ328" i="5"/>
  <c r="AJ326" i="5"/>
  <c r="AA318" i="5"/>
  <c r="AL325" i="5"/>
  <c r="AL324" i="5"/>
  <c r="Y315" i="5"/>
  <c r="AL323" i="5"/>
  <c r="Y311" i="5"/>
  <c r="AA311" i="5"/>
  <c r="Y283" i="5"/>
  <c r="AL294" i="5"/>
  <c r="AL293" i="5"/>
  <c r="AL292" i="5"/>
  <c r="AL370" i="5"/>
  <c r="AK216" i="5"/>
  <c r="AK149" i="5"/>
  <c r="AJ367" i="5"/>
  <c r="AF397" i="5"/>
  <c r="AM397" i="5" s="1"/>
  <c r="K194" i="6" s="1"/>
  <c r="L194" i="6" s="1"/>
  <c r="AI207" i="5"/>
  <c r="AA206" i="5"/>
  <c r="AK188" i="5"/>
  <c r="Y208" i="5"/>
  <c r="AI128" i="5"/>
  <c r="AI189" i="5"/>
  <c r="AK211" i="5"/>
  <c r="AA362" i="5"/>
  <c r="AI41" i="5"/>
  <c r="AI48" i="5"/>
  <c r="AI374" i="5"/>
  <c r="AL298" i="5"/>
  <c r="Y282" i="5"/>
  <c r="AI106" i="5"/>
  <c r="AI99" i="5"/>
  <c r="AI98" i="5"/>
  <c r="AI104" i="5"/>
  <c r="AI103" i="5"/>
  <c r="AI100" i="5"/>
  <c r="AI102" i="5"/>
  <c r="AJ36" i="5"/>
  <c r="AJ34" i="5"/>
  <c r="AJ32" i="5"/>
  <c r="AJ28" i="5"/>
  <c r="Y25" i="5"/>
  <c r="AJ25" i="5"/>
  <c r="AJ26" i="5"/>
  <c r="AJ27" i="5"/>
  <c r="AI218" i="5"/>
  <c r="AK113" i="5"/>
  <c r="AK114" i="5"/>
  <c r="AA38" i="5"/>
  <c r="Y36" i="5"/>
  <c r="AL44" i="5"/>
  <c r="AL41" i="5"/>
  <c r="Y35" i="5"/>
  <c r="AA34" i="5"/>
  <c r="AA33" i="5"/>
  <c r="AI352" i="5"/>
  <c r="AI353" i="5"/>
  <c r="AI348" i="5"/>
  <c r="AI349" i="5"/>
  <c r="AI343" i="5"/>
  <c r="AI344" i="5"/>
  <c r="AI345" i="5"/>
  <c r="AA330" i="5"/>
  <c r="AI340" i="5"/>
  <c r="Y330" i="5"/>
  <c r="AI335" i="5"/>
  <c r="AA320" i="5"/>
  <c r="AI230" i="5"/>
  <c r="AI229" i="5"/>
  <c r="AJ223" i="5"/>
  <c r="Y164" i="5"/>
  <c r="AA164" i="5"/>
  <c r="AK167" i="5"/>
  <c r="AK162" i="5"/>
  <c r="AJ141" i="5"/>
  <c r="AI118" i="5"/>
  <c r="AI117" i="5"/>
  <c r="AI120" i="5"/>
  <c r="AI115" i="5"/>
  <c r="AI112" i="5"/>
  <c r="AA48" i="5"/>
  <c r="Y48" i="5"/>
  <c r="Y340" i="5"/>
  <c r="AL349" i="5"/>
  <c r="AL345" i="5"/>
  <c r="AL346" i="5"/>
  <c r="AL343" i="5"/>
  <c r="Y328" i="5"/>
  <c r="AA328" i="5"/>
  <c r="AF331" i="5" s="1"/>
  <c r="AJ337" i="5"/>
  <c r="AJ331" i="5"/>
  <c r="AA315" i="5"/>
  <c r="AK240" i="5"/>
  <c r="AK241" i="5"/>
  <c r="AI240" i="5"/>
  <c r="AI217" i="5"/>
  <c r="Z176" i="5"/>
  <c r="Z135" i="5"/>
  <c r="AK74" i="5"/>
  <c r="AA50" i="5"/>
  <c r="Y45" i="5"/>
  <c r="AI257" i="5"/>
  <c r="AA245" i="5"/>
  <c r="AI256" i="5"/>
  <c r="Y245" i="5"/>
  <c r="Y241" i="5"/>
  <c r="AI252" i="5"/>
  <c r="Z239" i="5"/>
  <c r="AK246" i="5"/>
  <c r="AI248" i="5"/>
  <c r="AL244" i="5"/>
  <c r="AL398" i="5"/>
  <c r="AA192" i="5"/>
  <c r="Y192" i="5"/>
  <c r="Z181" i="5"/>
  <c r="AA181" i="5"/>
  <c r="AI200" i="5"/>
  <c r="Z163" i="5"/>
  <c r="AI176" i="5"/>
  <c r="Z145" i="5"/>
  <c r="Y62" i="5"/>
  <c r="AA52" i="5"/>
  <c r="AI263" i="5"/>
  <c r="AI265" i="5"/>
  <c r="Y254" i="5"/>
  <c r="AI264" i="5"/>
  <c r="Y246" i="5"/>
  <c r="AA246" i="5"/>
  <c r="Z391" i="5"/>
  <c r="Z381" i="5"/>
  <c r="AA175" i="5"/>
  <c r="Y175" i="5"/>
  <c r="AI159" i="5"/>
  <c r="Y140" i="5"/>
  <c r="AJ89" i="5"/>
  <c r="AJ88" i="5"/>
  <c r="AI27" i="5"/>
  <c r="AK25" i="5"/>
  <c r="Z191" i="5"/>
  <c r="AI210" i="5"/>
  <c r="AI208" i="5"/>
  <c r="AI205" i="5"/>
  <c r="AL137" i="5"/>
  <c r="AJ133" i="5"/>
  <c r="AJ135" i="5"/>
  <c r="AK97" i="5"/>
  <c r="AK96" i="5"/>
  <c r="AK86" i="5"/>
  <c r="AK88" i="5"/>
  <c r="Z69" i="5"/>
  <c r="AK84" i="5"/>
  <c r="AK79" i="5"/>
  <c r="AK80" i="5"/>
  <c r="AL70" i="5"/>
  <c r="AL26" i="5"/>
  <c r="Z274" i="5"/>
  <c r="Z270" i="5"/>
  <c r="AJ278" i="5"/>
  <c r="AI266" i="5"/>
  <c r="AA361" i="5"/>
  <c r="AA348" i="5"/>
  <c r="Z401" i="5"/>
  <c r="Z208" i="5"/>
  <c r="AI216" i="5"/>
  <c r="Z196" i="5"/>
  <c r="Y204" i="5"/>
  <c r="Z184" i="5"/>
  <c r="Z164" i="5"/>
  <c r="Y172" i="5"/>
  <c r="AK173" i="5"/>
  <c r="Y159" i="5"/>
  <c r="AI139" i="5"/>
  <c r="AL127" i="5"/>
  <c r="AA104" i="5"/>
  <c r="Y112" i="5"/>
  <c r="Y96" i="5"/>
  <c r="Y88" i="5"/>
  <c r="AD96" i="5" s="1"/>
  <c r="AJ86" i="5"/>
  <c r="AA67" i="5"/>
  <c r="Y322" i="5"/>
  <c r="Z306" i="5"/>
  <c r="Y297" i="5"/>
  <c r="AA296" i="5"/>
  <c r="Z273" i="5"/>
  <c r="Z250" i="5"/>
  <c r="AL246" i="5"/>
  <c r="Y214" i="5"/>
  <c r="Z346" i="5"/>
  <c r="AK384" i="5"/>
  <c r="AA158" i="5"/>
  <c r="AA118" i="5"/>
  <c r="Z94" i="5"/>
  <c r="AK108" i="5"/>
  <c r="AL105" i="5"/>
  <c r="Z80" i="5"/>
  <c r="Y83" i="5"/>
  <c r="Y77" i="5"/>
  <c r="Z22" i="5"/>
  <c r="AA338" i="5"/>
  <c r="AJ336" i="5"/>
  <c r="AA317" i="5"/>
  <c r="Y314" i="5"/>
  <c r="Z299" i="5"/>
  <c r="Z295" i="5"/>
  <c r="AA280" i="5"/>
  <c r="Y250" i="5"/>
  <c r="Z222" i="5"/>
  <c r="Z363" i="5"/>
  <c r="AA383" i="5"/>
  <c r="Y426" i="5"/>
  <c r="Z424" i="5"/>
  <c r="Z200" i="5"/>
  <c r="AL208" i="5"/>
  <c r="Z174" i="5"/>
  <c r="Z167" i="5"/>
  <c r="Z165" i="5"/>
  <c r="Z160" i="5"/>
  <c r="AA157" i="5"/>
  <c r="Z127" i="5"/>
  <c r="AJ128" i="5"/>
  <c r="Z105" i="5"/>
  <c r="AE116" i="5" s="1"/>
  <c r="Y104" i="5"/>
  <c r="Z91" i="5"/>
  <c r="Z87" i="5"/>
  <c r="Z59" i="5"/>
  <c r="Z56" i="5"/>
  <c r="AE67" i="5" s="1"/>
  <c r="AA45" i="5"/>
  <c r="Z43" i="5"/>
  <c r="Z39" i="5"/>
  <c r="AA31" i="5"/>
  <c r="AA25" i="5"/>
  <c r="Z17" i="5"/>
  <c r="AE27" i="5" s="1"/>
  <c r="Z333" i="5"/>
  <c r="Z329" i="5"/>
  <c r="Z325" i="5"/>
  <c r="Y319" i="5"/>
  <c r="Y298" i="5"/>
  <c r="Y287" i="5"/>
  <c r="Y286" i="5"/>
  <c r="Z284" i="5"/>
  <c r="AE291" i="5" s="1"/>
  <c r="Z248" i="5"/>
  <c r="Z352" i="5"/>
  <c r="AA350" i="5"/>
  <c r="Z348" i="5"/>
  <c r="Z402" i="5"/>
  <c r="Z377" i="5"/>
  <c r="Z413" i="5"/>
  <c r="Z202" i="5"/>
  <c r="Y190" i="5"/>
  <c r="AA184" i="5"/>
  <c r="AI191" i="5"/>
  <c r="Z169" i="5"/>
  <c r="Z152" i="5"/>
  <c r="Z147" i="5"/>
  <c r="AA149" i="5"/>
  <c r="Y147" i="5"/>
  <c r="Z100" i="5"/>
  <c r="Z84" i="5"/>
  <c r="Z79" i="5"/>
  <c r="Z76" i="5"/>
  <c r="AA79" i="5"/>
  <c r="Z58" i="5"/>
  <c r="Z38" i="5"/>
  <c r="AA307" i="5"/>
  <c r="Y264" i="5"/>
  <c r="AL251" i="5"/>
  <c r="AK250" i="5"/>
  <c r="Y238" i="5"/>
  <c r="Z228" i="5"/>
  <c r="AE235" i="5" s="1"/>
  <c r="Y358" i="5"/>
  <c r="Y409" i="5"/>
  <c r="AI419" i="5"/>
  <c r="Z403" i="5"/>
  <c r="Z395" i="5"/>
  <c r="Z384" i="5"/>
  <c r="Z418" i="5"/>
  <c r="Z417" i="5"/>
  <c r="Y427" i="5"/>
  <c r="Z425" i="5"/>
  <c r="Z194" i="5"/>
  <c r="AA170" i="5"/>
  <c r="AA153" i="5"/>
  <c r="AA91" i="5"/>
  <c r="Y303" i="5"/>
  <c r="Z301" i="5"/>
  <c r="Z297" i="5"/>
  <c r="AA283" i="5"/>
  <c r="Y363" i="5"/>
  <c r="AA403" i="5"/>
  <c r="Z379" i="5"/>
  <c r="AL422" i="5"/>
  <c r="Z206" i="5"/>
  <c r="Y198" i="5"/>
  <c r="Z159" i="5"/>
  <c r="Y162" i="5"/>
  <c r="Z149" i="5"/>
  <c r="Z138" i="5"/>
  <c r="Y142" i="5"/>
  <c r="Z131" i="5"/>
  <c r="Z119" i="5"/>
  <c r="Z104" i="5"/>
  <c r="Z102" i="5"/>
  <c r="Z86" i="5"/>
  <c r="Y94" i="5"/>
  <c r="AD103" i="5" s="1"/>
  <c r="Z81" i="5"/>
  <c r="Z73" i="5"/>
  <c r="AA37" i="5"/>
  <c r="Z23" i="5"/>
  <c r="AE29" i="5" s="1"/>
  <c r="Y320" i="5"/>
  <c r="AA302" i="5"/>
  <c r="Z259" i="5"/>
  <c r="Z255" i="5"/>
  <c r="AA248" i="5"/>
  <c r="AA243" i="5"/>
  <c r="AA234" i="5"/>
  <c r="AI235" i="5"/>
  <c r="Z372" i="5"/>
  <c r="Z362" i="5"/>
  <c r="AI367" i="5"/>
  <c r="Z354" i="5"/>
  <c r="Z396" i="5"/>
  <c r="Z375" i="5"/>
  <c r="Z421" i="5"/>
  <c r="AA344" i="5"/>
  <c r="Z344" i="5"/>
  <c r="AJ354" i="5"/>
  <c r="Y343" i="5"/>
  <c r="AA343" i="5"/>
  <c r="AJ353" i="5"/>
  <c r="Y341" i="5"/>
  <c r="AJ352" i="5"/>
  <c r="AA341" i="5"/>
  <c r="AJ351" i="5"/>
  <c r="AJ349" i="5"/>
  <c r="AJ341" i="5"/>
  <c r="AJ350" i="5"/>
  <c r="Y339" i="5"/>
  <c r="AJ347" i="5"/>
  <c r="AJ345" i="5"/>
  <c r="AJ346" i="5"/>
  <c r="AJ343" i="5"/>
  <c r="AA339" i="5"/>
  <c r="AJ339" i="5"/>
  <c r="AJ342" i="5"/>
  <c r="AJ344" i="5"/>
  <c r="AJ348" i="5"/>
  <c r="Y274" i="5"/>
  <c r="AI284" i="5"/>
  <c r="AI281" i="5"/>
  <c r="AI280" i="5"/>
  <c r="AA274" i="5"/>
  <c r="AI279" i="5"/>
  <c r="AI282" i="5"/>
  <c r="AI278" i="5"/>
  <c r="AI276" i="5"/>
  <c r="AI274" i="5"/>
  <c r="AI275" i="5"/>
  <c r="AI285" i="5"/>
  <c r="AI283" i="5"/>
  <c r="AA428" i="5"/>
  <c r="Y428" i="5"/>
  <c r="AI428" i="5"/>
  <c r="AI429" i="5"/>
  <c r="AE192" i="5"/>
  <c r="Y110" i="5"/>
  <c r="AL113" i="5"/>
  <c r="AL114" i="5"/>
  <c r="AL112" i="5"/>
  <c r="AL110" i="5"/>
  <c r="AA110" i="5"/>
  <c r="AL120" i="5"/>
  <c r="AL119" i="5"/>
  <c r="AL115" i="5"/>
  <c r="AL111" i="5"/>
  <c r="AL121" i="5"/>
  <c r="AL116" i="5"/>
  <c r="AA408" i="5"/>
  <c r="Z408" i="5"/>
  <c r="AD386" i="5"/>
  <c r="AE321" i="5"/>
  <c r="AL125" i="5"/>
  <c r="AL122" i="5"/>
  <c r="Y115" i="5"/>
  <c r="AL126" i="5"/>
  <c r="AL123" i="5"/>
  <c r="AA115" i="5"/>
  <c r="AL124" i="5"/>
  <c r="AE104" i="5"/>
  <c r="Z78" i="5"/>
  <c r="AA78" i="5"/>
  <c r="AA84" i="5"/>
  <c r="AI87" i="5"/>
  <c r="AI84" i="5"/>
  <c r="AI94" i="5"/>
  <c r="AI90" i="5"/>
  <c r="AI95" i="5"/>
  <c r="AI86" i="5"/>
  <c r="AI85" i="5"/>
  <c r="AI89" i="5"/>
  <c r="AI92" i="5"/>
  <c r="AI93" i="5"/>
  <c r="AI91" i="5"/>
  <c r="AL92" i="5"/>
  <c r="AL89" i="5"/>
  <c r="AL90" i="5"/>
  <c r="AL87" i="5"/>
  <c r="AL88" i="5"/>
  <c r="AL86" i="5"/>
  <c r="AL91" i="5"/>
  <c r="AL81" i="5"/>
  <c r="Z30" i="5"/>
  <c r="AE31" i="5" s="1"/>
  <c r="AA30" i="5"/>
  <c r="AI38" i="5"/>
  <c r="Y29" i="5"/>
  <c r="AL32" i="5"/>
  <c r="AL33" i="5"/>
  <c r="AL28" i="5"/>
  <c r="AL34" i="5"/>
  <c r="AL29" i="5"/>
  <c r="AL38" i="5"/>
  <c r="AL37" i="5"/>
  <c r="AL36" i="5"/>
  <c r="AL31" i="5"/>
  <c r="AL30" i="5"/>
  <c r="AL35" i="5"/>
  <c r="AK304" i="5"/>
  <c r="AK302" i="5"/>
  <c r="AK301" i="5"/>
  <c r="Y289" i="5"/>
  <c r="AK300" i="5"/>
  <c r="AK299" i="5"/>
  <c r="AK298" i="5"/>
  <c r="AK296" i="5"/>
  <c r="AK295" i="5"/>
  <c r="AK294" i="5"/>
  <c r="AK293" i="5"/>
  <c r="AK290" i="5"/>
  <c r="AJ389" i="5"/>
  <c r="AJ387" i="5"/>
  <c r="AJ388" i="5"/>
  <c r="AJ385" i="5"/>
  <c r="AJ382" i="5"/>
  <c r="AJ383" i="5"/>
  <c r="AJ392" i="5"/>
  <c r="AJ394" i="5"/>
  <c r="AA385" i="5"/>
  <c r="AJ390" i="5"/>
  <c r="Y385" i="5"/>
  <c r="AK219" i="5"/>
  <c r="AK213" i="5"/>
  <c r="Z77" i="5"/>
  <c r="AA77" i="5"/>
  <c r="AA82" i="5"/>
  <c r="Y82" i="5"/>
  <c r="AJ375" i="5"/>
  <c r="AJ373" i="5"/>
  <c r="AJ368" i="5"/>
  <c r="AJ372" i="5"/>
  <c r="AJ374" i="5"/>
  <c r="AJ371" i="5"/>
  <c r="Y364" i="5"/>
  <c r="Z207" i="5"/>
  <c r="Z140" i="5"/>
  <c r="AA365" i="5"/>
  <c r="Z365" i="5"/>
  <c r="AK352" i="5"/>
  <c r="AK353" i="5"/>
  <c r="AK354" i="5"/>
  <c r="Y347" i="5"/>
  <c r="AA347" i="5"/>
  <c r="AK358" i="5"/>
  <c r="AK357" i="5"/>
  <c r="AK355" i="5"/>
  <c r="AK356" i="5"/>
  <c r="AK351" i="5"/>
  <c r="AA177" i="5"/>
  <c r="AI182" i="5"/>
  <c r="AI187" i="5"/>
  <c r="Y177" i="5"/>
  <c r="AI185" i="5"/>
  <c r="AL230" i="5"/>
  <c r="AL229" i="5"/>
  <c r="AL223" i="5"/>
  <c r="AL225" i="5"/>
  <c r="AL226" i="5"/>
  <c r="AA220" i="5"/>
  <c r="Y220" i="5"/>
  <c r="AL227" i="5"/>
  <c r="AL228" i="5"/>
  <c r="AA367" i="5"/>
  <c r="AJ376" i="5"/>
  <c r="AJ378" i="5"/>
  <c r="AJ269" i="5"/>
  <c r="AJ270" i="5"/>
  <c r="AA259" i="5"/>
  <c r="AJ265" i="5"/>
  <c r="AJ268" i="5"/>
  <c r="AJ266" i="5"/>
  <c r="AJ267" i="5"/>
  <c r="AJ257" i="5"/>
  <c r="AJ263" i="5"/>
  <c r="Y257" i="5"/>
  <c r="AJ264" i="5"/>
  <c r="AJ260" i="5"/>
  <c r="AA257" i="5"/>
  <c r="AK232" i="5"/>
  <c r="AK230" i="5"/>
  <c r="AK233" i="5"/>
  <c r="AK226" i="5"/>
  <c r="AK222" i="5"/>
  <c r="AK231" i="5"/>
  <c r="AA222" i="5"/>
  <c r="AK227" i="5"/>
  <c r="Y222" i="5"/>
  <c r="Z268" i="5"/>
  <c r="AA268" i="5"/>
  <c r="AA14" i="5"/>
  <c r="Y14" i="5"/>
  <c r="AA329" i="5"/>
  <c r="AL333" i="5"/>
  <c r="AL336" i="5"/>
  <c r="AL332" i="5"/>
  <c r="AL331" i="5"/>
  <c r="AL330" i="5"/>
  <c r="AL329" i="5"/>
  <c r="AL339" i="5"/>
  <c r="AL337" i="5"/>
  <c r="AL335" i="5"/>
  <c r="AL340" i="5"/>
  <c r="AL338" i="5"/>
  <c r="AE329" i="5"/>
  <c r="AL273" i="5"/>
  <c r="AL272" i="5"/>
  <c r="AL271" i="5"/>
  <c r="AL270" i="5"/>
  <c r="AL281" i="5"/>
  <c r="AL280" i="5"/>
  <c r="AL279" i="5"/>
  <c r="AL278" i="5"/>
  <c r="AL277" i="5"/>
  <c r="Y270" i="5"/>
  <c r="AA270" i="5"/>
  <c r="AK274" i="5"/>
  <c r="AK273" i="5"/>
  <c r="AK272" i="5"/>
  <c r="AK271" i="5"/>
  <c r="AK281" i="5"/>
  <c r="AK279" i="5"/>
  <c r="AK280" i="5"/>
  <c r="AK276" i="5"/>
  <c r="AL240" i="5"/>
  <c r="AL234" i="5"/>
  <c r="AL242" i="5"/>
  <c r="AL239" i="5"/>
  <c r="AL235" i="5"/>
  <c r="AL241" i="5"/>
  <c r="AK180" i="5"/>
  <c r="AA169" i="5"/>
  <c r="AK174" i="5"/>
  <c r="AK171" i="5"/>
  <c r="AK178" i="5"/>
  <c r="Z158" i="5"/>
  <c r="Y148" i="5"/>
  <c r="AI155" i="5"/>
  <c r="AI157" i="5"/>
  <c r="AA148" i="5"/>
  <c r="AI153" i="5"/>
  <c r="AI158" i="5"/>
  <c r="AK95" i="5"/>
  <c r="AK94" i="5"/>
  <c r="AK82" i="5"/>
  <c r="AK91" i="5"/>
  <c r="AK89" i="5"/>
  <c r="AK92" i="5"/>
  <c r="AK85" i="5"/>
  <c r="AK90" i="5"/>
  <c r="Y26" i="5"/>
  <c r="AI37" i="5"/>
  <c r="AI35" i="5"/>
  <c r="AA26" i="5"/>
  <c r="AI32" i="5"/>
  <c r="AI28" i="5"/>
  <c r="AI24" i="5"/>
  <c r="AI29" i="5"/>
  <c r="AI30" i="5"/>
  <c r="AI31" i="5"/>
  <c r="AK347" i="5"/>
  <c r="AK346" i="5"/>
  <c r="AK348" i="5"/>
  <c r="AK349" i="5"/>
  <c r="AK342" i="5"/>
  <c r="AK344" i="5"/>
  <c r="AK345" i="5"/>
  <c r="AK350" i="5"/>
  <c r="AK340" i="5"/>
  <c r="AK343" i="5"/>
  <c r="AJ284" i="5"/>
  <c r="AJ285" i="5"/>
  <c r="AJ279" i="5"/>
  <c r="AJ276" i="5"/>
  <c r="AJ280" i="5"/>
  <c r="AJ283" i="5"/>
  <c r="AJ277" i="5"/>
  <c r="AJ281" i="5"/>
  <c r="AJ282" i="5"/>
  <c r="AJ274" i="5"/>
  <c r="AA272" i="5"/>
  <c r="Y272" i="5"/>
  <c r="AA210" i="5"/>
  <c r="AL377" i="5"/>
  <c r="AL378" i="5"/>
  <c r="AL367" i="5"/>
  <c r="AL371" i="5"/>
  <c r="AL368" i="5"/>
  <c r="AI368" i="5"/>
  <c r="AI371" i="5"/>
  <c r="AI375" i="5"/>
  <c r="AA364" i="5"/>
  <c r="AI395" i="5"/>
  <c r="AI394" i="5"/>
  <c r="AA384" i="5"/>
  <c r="Y384" i="5"/>
  <c r="Y381" i="5"/>
  <c r="AI390" i="5"/>
  <c r="Y378" i="5"/>
  <c r="AA378" i="5"/>
  <c r="AI389" i="5"/>
  <c r="AA375" i="5"/>
  <c r="AI381" i="5"/>
  <c r="AI376" i="5"/>
  <c r="AI384" i="5"/>
  <c r="AI379" i="5"/>
  <c r="AI386" i="5"/>
  <c r="AL168" i="5"/>
  <c r="AL161" i="5"/>
  <c r="AL166" i="5"/>
  <c r="AL169" i="5"/>
  <c r="AA125" i="5"/>
  <c r="AI133" i="5"/>
  <c r="AI126" i="5"/>
  <c r="AI125" i="5"/>
  <c r="AK38" i="5"/>
  <c r="AK35" i="5"/>
  <c r="AK37" i="5"/>
  <c r="AA27" i="5"/>
  <c r="Y27" i="5"/>
  <c r="AJ323" i="5"/>
  <c r="AJ324" i="5"/>
  <c r="AJ321" i="5"/>
  <c r="AJ322" i="5"/>
  <c r="AJ318" i="5"/>
  <c r="Y309" i="5"/>
  <c r="AJ315" i="5"/>
  <c r="AJ311" i="5"/>
  <c r="AJ312" i="5"/>
  <c r="Y299" i="5"/>
  <c r="AJ310" i="5"/>
  <c r="AJ308" i="5"/>
  <c r="AJ309" i="5"/>
  <c r="AJ303" i="5"/>
  <c r="AJ304" i="5"/>
  <c r="AJ301" i="5"/>
  <c r="AJ302" i="5"/>
  <c r="AJ300" i="5"/>
  <c r="AA291" i="5"/>
  <c r="Y291" i="5"/>
  <c r="AJ296" i="5"/>
  <c r="AJ293" i="5"/>
  <c r="AJ245" i="5"/>
  <c r="AJ244" i="5"/>
  <c r="AJ248" i="5"/>
  <c r="AJ240" i="5"/>
  <c r="AJ246" i="5"/>
  <c r="Z429" i="5"/>
  <c r="Y191" i="5"/>
  <c r="AJ200" i="5"/>
  <c r="AJ199" i="5"/>
  <c r="AJ198" i="5"/>
  <c r="AJ197" i="5"/>
  <c r="AA191" i="5"/>
  <c r="Y160" i="5"/>
  <c r="AI160" i="5"/>
  <c r="AI163" i="5"/>
  <c r="AI171" i="5"/>
  <c r="AI161" i="5"/>
  <c r="AI169" i="5"/>
  <c r="AI166" i="5"/>
  <c r="Z85" i="5"/>
  <c r="AK31" i="5"/>
  <c r="Y313" i="5"/>
  <c r="AI319" i="5"/>
  <c r="AI323" i="5"/>
  <c r="AI321" i="5"/>
  <c r="AI318" i="5"/>
  <c r="AI320" i="5"/>
  <c r="AI316" i="5"/>
  <c r="AI313" i="5"/>
  <c r="AI324" i="5"/>
  <c r="AI314" i="5"/>
  <c r="AA309" i="5"/>
  <c r="AA301" i="5"/>
  <c r="AI308" i="5"/>
  <c r="AI312" i="5"/>
  <c r="AI310" i="5"/>
  <c r="AA299" i="5"/>
  <c r="AA295" i="5"/>
  <c r="Y295" i="5"/>
  <c r="AI305" i="5"/>
  <c r="AI303" i="5"/>
  <c r="AA293" i="5"/>
  <c r="AI302" i="5"/>
  <c r="AI300" i="5"/>
  <c r="AI299" i="5"/>
  <c r="Y293" i="5"/>
  <c r="AI304" i="5"/>
  <c r="AI298" i="5"/>
  <c r="AA289" i="5"/>
  <c r="Y239" i="5"/>
  <c r="AI250" i="5"/>
  <c r="AI239" i="5"/>
  <c r="Y237" i="5"/>
  <c r="AI245" i="5"/>
  <c r="AI237" i="5"/>
  <c r="AI244" i="5"/>
  <c r="AI247" i="5"/>
  <c r="AK376" i="5"/>
  <c r="AK381" i="5"/>
  <c r="AA373" i="5"/>
  <c r="AK375" i="5"/>
  <c r="AK377" i="5"/>
  <c r="AK383" i="5"/>
  <c r="AK380" i="5"/>
  <c r="AK393" i="5"/>
  <c r="AK394" i="5"/>
  <c r="AK399" i="5"/>
  <c r="AA201" i="5"/>
  <c r="AK83" i="5"/>
  <c r="Y189" i="5"/>
  <c r="AA189" i="5"/>
  <c r="AJ189" i="5"/>
  <c r="Y126" i="5"/>
  <c r="AA126" i="5"/>
  <c r="Z316" i="5"/>
  <c r="Z240" i="5"/>
  <c r="AA240" i="5"/>
  <c r="AK179" i="5"/>
  <c r="AK170" i="5"/>
  <c r="AK175" i="5"/>
  <c r="AI193" i="5"/>
  <c r="AI190" i="5"/>
  <c r="AI192" i="5"/>
  <c r="Z151" i="5"/>
  <c r="AA151" i="5"/>
  <c r="Z120" i="5"/>
  <c r="AA120" i="5"/>
  <c r="AK55" i="5"/>
  <c r="AK52" i="5"/>
  <c r="AA49" i="5"/>
  <c r="Z49" i="5"/>
  <c r="AA316" i="5"/>
  <c r="AL322" i="5"/>
  <c r="AL321" i="5"/>
  <c r="AL320" i="5"/>
  <c r="AL319" i="5"/>
  <c r="AL318" i="5"/>
  <c r="AL317" i="5"/>
  <c r="AL316" i="5"/>
  <c r="Y316" i="5"/>
  <c r="AL327" i="5"/>
  <c r="AL326" i="5"/>
  <c r="Z314" i="5"/>
  <c r="AA314" i="5"/>
  <c r="AK255" i="5"/>
  <c r="AL359" i="5"/>
  <c r="AL352" i="5"/>
  <c r="AL363" i="5"/>
  <c r="AA352" i="5"/>
  <c r="AL361" i="5"/>
  <c r="AL353" i="5"/>
  <c r="AL360" i="5"/>
  <c r="Y352" i="5"/>
  <c r="AI407" i="5"/>
  <c r="Y398" i="5"/>
  <c r="AI409" i="5"/>
  <c r="AI402" i="5"/>
  <c r="AI403" i="5"/>
  <c r="AI405" i="5"/>
  <c r="AI399" i="5"/>
  <c r="AI398" i="5"/>
  <c r="AI401" i="5"/>
  <c r="AL419" i="5"/>
  <c r="AA418" i="5"/>
  <c r="AA199" i="5"/>
  <c r="AJ204" i="5"/>
  <c r="AJ205" i="5"/>
  <c r="AJ209" i="5"/>
  <c r="AJ208" i="5"/>
  <c r="AJ210" i="5"/>
  <c r="Z128" i="5"/>
  <c r="AA128" i="5"/>
  <c r="AA97" i="5"/>
  <c r="AJ104" i="5"/>
  <c r="AJ102" i="5"/>
  <c r="AJ107" i="5"/>
  <c r="AL103" i="5"/>
  <c r="AL104" i="5"/>
  <c r="AL101" i="5"/>
  <c r="AL102" i="5"/>
  <c r="AL99" i="5"/>
  <c r="AL100" i="5"/>
  <c r="AL97" i="5"/>
  <c r="AL98" i="5"/>
  <c r="AL95" i="5"/>
  <c r="AJ73" i="5"/>
  <c r="AJ74" i="5"/>
  <c r="Y63" i="5"/>
  <c r="AJ71" i="5"/>
  <c r="Y61" i="5"/>
  <c r="AA61" i="5"/>
  <c r="AJ69" i="5"/>
  <c r="AJ70" i="5"/>
  <c r="AK66" i="5"/>
  <c r="AK64" i="5"/>
  <c r="AK67" i="5"/>
  <c r="AK63" i="5"/>
  <c r="AA54" i="5"/>
  <c r="Y54" i="5"/>
  <c r="AL60" i="5"/>
  <c r="AL52" i="5"/>
  <c r="AL54" i="5"/>
  <c r="AL58" i="5"/>
  <c r="AL53" i="5"/>
  <c r="Y50" i="5"/>
  <c r="AJ54" i="5"/>
  <c r="AJ50" i="5"/>
  <c r="AK49" i="5"/>
  <c r="AK41" i="5"/>
  <c r="AK43" i="5"/>
  <c r="AK50" i="5"/>
  <c r="AJ363" i="5"/>
  <c r="AJ364" i="5"/>
  <c r="AJ357" i="5"/>
  <c r="AJ361" i="5"/>
  <c r="AJ365" i="5"/>
  <c r="AJ355" i="5"/>
  <c r="AA193" i="5"/>
  <c r="AJ211" i="5"/>
  <c r="Y199" i="5"/>
  <c r="AI175" i="5"/>
  <c r="AA165" i="5"/>
  <c r="AL148" i="5"/>
  <c r="AL144" i="5"/>
  <c r="AL143" i="5"/>
  <c r="AL140" i="5"/>
  <c r="AL150" i="5"/>
  <c r="AA140" i="5"/>
  <c r="AK142" i="5"/>
  <c r="AK144" i="5"/>
  <c r="Z118" i="5"/>
  <c r="AI105" i="5"/>
  <c r="AI109" i="5"/>
  <c r="AI107" i="5"/>
  <c r="AA98" i="5"/>
  <c r="AL66" i="5"/>
  <c r="AL65" i="5"/>
  <c r="AL67" i="5"/>
  <c r="AL69" i="5"/>
  <c r="Y51" i="5"/>
  <c r="AK62" i="5"/>
  <c r="AI336" i="5"/>
  <c r="AI332" i="5"/>
  <c r="Y326" i="5"/>
  <c r="AI328" i="5"/>
  <c r="AI326" i="5"/>
  <c r="AI331" i="5"/>
  <c r="AI337" i="5"/>
  <c r="AI333" i="5"/>
  <c r="AE266" i="5"/>
  <c r="AI365" i="5"/>
  <c r="Y401" i="5"/>
  <c r="AI410" i="5"/>
  <c r="AL410" i="5"/>
  <c r="AK56" i="5"/>
  <c r="AL158" i="5"/>
  <c r="AI177" i="5"/>
  <c r="AJ142" i="5"/>
  <c r="AJ150" i="5"/>
  <c r="AJ149" i="5"/>
  <c r="AL85" i="5"/>
  <c r="AL83" i="5"/>
  <c r="AL84" i="5"/>
  <c r="AL74" i="5"/>
  <c r="AJ75" i="5"/>
  <c r="AA69" i="5"/>
  <c r="AJ80" i="5"/>
  <c r="AK69" i="5"/>
  <c r="AK68" i="5"/>
  <c r="Y58" i="5"/>
  <c r="AA58" i="5"/>
  <c r="AL268" i="5"/>
  <c r="AL267" i="5"/>
  <c r="AL261" i="5"/>
  <c r="AL260" i="5"/>
  <c r="AL259" i="5"/>
  <c r="AL258" i="5"/>
  <c r="AL257" i="5"/>
  <c r="AL256" i="5"/>
  <c r="AL255" i="5"/>
  <c r="AL266" i="5"/>
  <c r="AL265" i="5"/>
  <c r="Z253" i="5"/>
  <c r="AL236" i="5"/>
  <c r="Y211" i="5"/>
  <c r="AJ221" i="5"/>
  <c r="AJ220" i="5"/>
  <c r="AJ219" i="5"/>
  <c r="AJ217" i="5"/>
  <c r="AJ359" i="5"/>
  <c r="AL373" i="5"/>
  <c r="Z355" i="5"/>
  <c r="AA354" i="5"/>
  <c r="Y354" i="5"/>
  <c r="AI364" i="5"/>
  <c r="AI354" i="5"/>
  <c r="AI355" i="5"/>
  <c r="AI362" i="5"/>
  <c r="AI358" i="5"/>
  <c r="AK220" i="5"/>
  <c r="AA209" i="5"/>
  <c r="AA205" i="5"/>
  <c r="AJ216" i="5"/>
  <c r="AA147" i="5"/>
  <c r="AJ158" i="5"/>
  <c r="AJ157" i="5"/>
  <c r="AJ154" i="5"/>
  <c r="AI144" i="5"/>
  <c r="AI141" i="5"/>
  <c r="AI142" i="5"/>
  <c r="AI150" i="5"/>
  <c r="Z337" i="5"/>
  <c r="AA337" i="5"/>
  <c r="AK270" i="5"/>
  <c r="AK265" i="5"/>
  <c r="AK370" i="5"/>
  <c r="AK369" i="5"/>
  <c r="AK367" i="5"/>
  <c r="AK363" i="5"/>
  <c r="AK366" i="5"/>
  <c r="Y362" i="5"/>
  <c r="AD366" i="5" s="1"/>
  <c r="AK362" i="5"/>
  <c r="AK368" i="5"/>
  <c r="AL415" i="5"/>
  <c r="AL412" i="5"/>
  <c r="AL414" i="5"/>
  <c r="AL411" i="5"/>
  <c r="AK387" i="5"/>
  <c r="AK388" i="5"/>
  <c r="AK389" i="5"/>
  <c r="AL215" i="5"/>
  <c r="Y184" i="5"/>
  <c r="Z133" i="5"/>
  <c r="AA89" i="5"/>
  <c r="AJ91" i="5"/>
  <c r="Y69" i="5"/>
  <c r="AJ68" i="5"/>
  <c r="Z15" i="5"/>
  <c r="AK337" i="5"/>
  <c r="Y329" i="5"/>
  <c r="AL334" i="5"/>
  <c r="AK329" i="5"/>
  <c r="Z312" i="5"/>
  <c r="Z302" i="5"/>
  <c r="AA261" i="5"/>
  <c r="AI271" i="5"/>
  <c r="Y261" i="5"/>
  <c r="Y259" i="5"/>
  <c r="Z238" i="5"/>
  <c r="Z212" i="5"/>
  <c r="AI383" i="5"/>
  <c r="AL366" i="5"/>
  <c r="AL357" i="5"/>
  <c r="Z389" i="5"/>
  <c r="AL388" i="5"/>
  <c r="Y421" i="5"/>
  <c r="AI140" i="5"/>
  <c r="AA131" i="5"/>
  <c r="AA51" i="5"/>
  <c r="AJ340" i="5"/>
  <c r="AJ329" i="5"/>
  <c r="AJ327" i="5"/>
  <c r="AJ291" i="5"/>
  <c r="AJ292" i="5"/>
  <c r="Y255" i="5"/>
  <c r="AL249" i="5"/>
  <c r="AJ235" i="5"/>
  <c r="AJ236" i="5"/>
  <c r="AK235" i="5"/>
  <c r="Y225" i="5"/>
  <c r="AK236" i="5"/>
  <c r="AK224" i="5"/>
  <c r="AK225" i="5"/>
  <c r="AL221" i="5"/>
  <c r="AL220" i="5"/>
  <c r="AL222" i="5"/>
  <c r="Z210" i="5"/>
  <c r="Z376" i="5"/>
  <c r="AA421" i="5"/>
  <c r="AJ422" i="5"/>
  <c r="Z410" i="5"/>
  <c r="Y176" i="5"/>
  <c r="Z162" i="5"/>
  <c r="Y74" i="5"/>
  <c r="AA15" i="5"/>
  <c r="Y318" i="5"/>
  <c r="AK319" i="5"/>
  <c r="Y281" i="5"/>
  <c r="AJ290" i="5"/>
  <c r="AJ287" i="5"/>
  <c r="AJ288" i="5"/>
  <c r="AK287" i="5"/>
  <c r="Y277" i="5"/>
  <c r="AA253" i="5"/>
  <c r="AA231" i="5"/>
  <c r="Y231" i="5"/>
  <c r="AJ224" i="5"/>
  <c r="AJ227" i="5"/>
  <c r="AJ228" i="5"/>
  <c r="Y212" i="5"/>
  <c r="AK223" i="5"/>
  <c r="AK221" i="5"/>
  <c r="AA212" i="5"/>
  <c r="Y365" i="5"/>
  <c r="AA399" i="5"/>
  <c r="AL177" i="5"/>
  <c r="AL174" i="5"/>
  <c r="AL153" i="5"/>
  <c r="Y33" i="5"/>
  <c r="AI334" i="5"/>
  <c r="Y323" i="5"/>
  <c r="AJ319" i="5"/>
  <c r="AJ317" i="5"/>
  <c r="AJ313" i="5"/>
  <c r="AJ314" i="5"/>
  <c r="Y249" i="5"/>
  <c r="AJ259" i="5"/>
  <c r="AI255" i="5"/>
  <c r="AJ252" i="5"/>
  <c r="AJ253" i="5"/>
  <c r="Y240" i="5"/>
  <c r="AJ250" i="5"/>
  <c r="AJ251" i="5"/>
  <c r="AA223" i="5"/>
  <c r="Y223" i="5"/>
  <c r="AJ231" i="5"/>
  <c r="AA216" i="5"/>
  <c r="AA214" i="5"/>
  <c r="Z380" i="5"/>
  <c r="Y422" i="5"/>
  <c r="Z198" i="5"/>
  <c r="AE207" i="5" s="1"/>
  <c r="AA198" i="5"/>
  <c r="AJ196" i="5"/>
  <c r="AL190" i="5"/>
  <c r="Z168" i="5"/>
  <c r="Y156" i="5"/>
  <c r="AA156" i="5"/>
  <c r="AA312" i="5"/>
  <c r="AI315" i="5"/>
  <c r="Y304" i="5"/>
  <c r="Y302" i="5"/>
  <c r="AJ306" i="5"/>
  <c r="AJ307" i="5"/>
  <c r="Y288" i="5"/>
  <c r="AJ298" i="5"/>
  <c r="AJ299" i="5"/>
  <c r="AL276" i="5"/>
  <c r="AI277" i="5"/>
  <c r="Y266" i="5"/>
  <c r="AJ255" i="5"/>
  <c r="AJ258" i="5"/>
  <c r="AJ256" i="5"/>
  <c r="AI251" i="5"/>
  <c r="AJ379" i="5"/>
  <c r="AA355" i="5"/>
  <c r="AF366" i="5" s="1"/>
  <c r="AM366" i="5" s="1"/>
  <c r="K163" i="6" s="1"/>
  <c r="L163" i="6" s="1"/>
  <c r="AA405" i="5"/>
  <c r="Y405" i="5"/>
  <c r="AJ427" i="5"/>
  <c r="AK189" i="5"/>
  <c r="Y168" i="5"/>
  <c r="AA154" i="5"/>
  <c r="AA161" i="5"/>
  <c r="AL152" i="5"/>
  <c r="Y18" i="5"/>
  <c r="AL342" i="5"/>
  <c r="AI301" i="5"/>
  <c r="AA275" i="5"/>
  <c r="AF286" i="5" s="1"/>
  <c r="Y267" i="5"/>
  <c r="AD278" i="5" s="1"/>
  <c r="AA267" i="5"/>
  <c r="AJ275" i="5"/>
  <c r="AJ272" i="5"/>
  <c r="AJ273" i="5"/>
  <c r="AJ271" i="5"/>
  <c r="Z243" i="5"/>
  <c r="AA227" i="5"/>
  <c r="Y227" i="5"/>
  <c r="AA225" i="5"/>
  <c r="AI234" i="5"/>
  <c r="Y224" i="5"/>
  <c r="AJ384" i="5"/>
  <c r="AL369" i="5"/>
  <c r="AL405" i="5"/>
  <c r="Y389" i="5"/>
  <c r="Y413" i="5"/>
  <c r="AA425" i="5"/>
  <c r="Y202" i="5"/>
  <c r="AJ213" i="5"/>
  <c r="AJ212" i="5"/>
  <c r="AA194" i="5"/>
  <c r="Y194" i="5"/>
  <c r="AA173" i="5"/>
  <c r="AK169" i="5"/>
  <c r="AL145" i="5"/>
  <c r="AL142" i="5"/>
  <c r="AA127" i="5"/>
  <c r="AA93" i="5"/>
  <c r="AI39" i="5"/>
  <c r="AA340" i="5"/>
  <c r="AJ295" i="5"/>
  <c r="AJ297" i="5"/>
  <c r="AK239" i="5"/>
  <c r="AL238" i="5"/>
  <c r="AL237" i="5"/>
  <c r="AA372" i="5"/>
  <c r="AL426" i="5"/>
  <c r="AA413" i="5"/>
  <c r="Z426" i="5"/>
  <c r="AA202" i="5"/>
  <c r="AL182" i="5"/>
  <c r="AA133" i="5"/>
  <c r="AL134" i="5"/>
  <c r="AI121" i="5"/>
  <c r="AK93" i="5"/>
  <c r="AL63" i="5"/>
  <c r="Y336" i="5"/>
  <c r="AI346" i="5"/>
  <c r="AJ241" i="5"/>
  <c r="AJ239" i="5"/>
  <c r="AL224" i="5"/>
  <c r="AL375" i="5"/>
  <c r="AA359" i="5"/>
  <c r="Z404" i="5"/>
  <c r="AL425" i="5"/>
  <c r="AJ218" i="5"/>
  <c r="Z180" i="5"/>
  <c r="AA180" i="5"/>
  <c r="Y180" i="5"/>
  <c r="AK181" i="5"/>
  <c r="AK164" i="5"/>
  <c r="AK157" i="5"/>
  <c r="AI339" i="5"/>
  <c r="AJ332" i="5"/>
  <c r="AJ333" i="5"/>
  <c r="AJ330" i="5"/>
  <c r="AK312" i="5"/>
  <c r="AJ261" i="5"/>
  <c r="AJ262" i="5"/>
  <c r="Y252" i="5"/>
  <c r="AL248" i="5"/>
  <c r="AL245" i="5"/>
  <c r="AL243" i="5"/>
  <c r="AL233" i="5"/>
  <c r="Y218" i="5"/>
  <c r="AK228" i="5"/>
  <c r="AK229" i="5"/>
  <c r="AJ381" i="5"/>
  <c r="Y370" i="5"/>
  <c r="AI361" i="5"/>
  <c r="AI359" i="5"/>
  <c r="AA346" i="5"/>
  <c r="Y417" i="5"/>
  <c r="AA28" i="5"/>
  <c r="AA146" i="5"/>
  <c r="Y209" i="5"/>
  <c r="AA178" i="5"/>
  <c r="AA138" i="5"/>
  <c r="AA142" i="5"/>
  <c r="AE425" i="5" l="1"/>
  <c r="AE47" i="5"/>
  <c r="AE285" i="5"/>
  <c r="AE372" i="5"/>
  <c r="AD94" i="5"/>
  <c r="AD46" i="5"/>
  <c r="AE105" i="5"/>
  <c r="AF177" i="5"/>
  <c r="AM177" i="5" s="1"/>
  <c r="AE106" i="5"/>
  <c r="AF403" i="5"/>
  <c r="AM403" i="5" s="1"/>
  <c r="K200" i="6" s="1"/>
  <c r="L200" i="6" s="1"/>
  <c r="AE115" i="5"/>
  <c r="AF252" i="5"/>
  <c r="AM252" i="5" s="1"/>
  <c r="K49" i="6" s="1"/>
  <c r="L49" i="6" s="1"/>
  <c r="AD141" i="5"/>
  <c r="AF194" i="5"/>
  <c r="AM194" i="5" s="1"/>
  <c r="AE224" i="5"/>
  <c r="AD255" i="5"/>
  <c r="AE320" i="5"/>
  <c r="AF336" i="5"/>
  <c r="AD98" i="5"/>
  <c r="AE408" i="5"/>
  <c r="AF266" i="5"/>
  <c r="AM266" i="5" s="1"/>
  <c r="K63" i="6" s="1"/>
  <c r="L63" i="6" s="1"/>
  <c r="AE267" i="5"/>
  <c r="AF109" i="5"/>
  <c r="AM109" i="5" s="1"/>
  <c r="AD30" i="5"/>
  <c r="AE66" i="5"/>
  <c r="AD145" i="5"/>
  <c r="AE406" i="5"/>
  <c r="AF193" i="5"/>
  <c r="AM193" i="5" s="1"/>
  <c r="AF288" i="5"/>
  <c r="AM288" i="5" s="1"/>
  <c r="K85" i="6" s="1"/>
  <c r="L85" i="6" s="1"/>
  <c r="AE423" i="5"/>
  <c r="AE234" i="5"/>
  <c r="AD133" i="5"/>
  <c r="AD109" i="5"/>
  <c r="AD420" i="5"/>
  <c r="AF234" i="5"/>
  <c r="AM234" i="5" s="1"/>
  <c r="K31" i="6" s="1"/>
  <c r="L31" i="6" s="1"/>
  <c r="AD223" i="5"/>
  <c r="AF396" i="5"/>
  <c r="AM396" i="5" s="1"/>
  <c r="K193" i="6" s="1"/>
  <c r="L193" i="6" s="1"/>
  <c r="AD142" i="5"/>
  <c r="AE402" i="5"/>
  <c r="AE70" i="5"/>
  <c r="AE422" i="5"/>
  <c r="AD307" i="5"/>
  <c r="AE78" i="5"/>
  <c r="AE98" i="5"/>
  <c r="AE349" i="5"/>
  <c r="AE293" i="5"/>
  <c r="AE160" i="5"/>
  <c r="AE109" i="5"/>
  <c r="AF48" i="5"/>
  <c r="AM48" i="5" s="1"/>
  <c r="AE330" i="5"/>
  <c r="AE99" i="5"/>
  <c r="AE196" i="5"/>
  <c r="AE236" i="5"/>
  <c r="AF47" i="5"/>
  <c r="AM47" i="5" s="1"/>
  <c r="AE197" i="5"/>
  <c r="AF343" i="5"/>
  <c r="AM343" i="5" s="1"/>
  <c r="K140" i="6" s="1"/>
  <c r="L140" i="6" s="1"/>
  <c r="AF110" i="5"/>
  <c r="AM110" i="5" s="1"/>
  <c r="AF192" i="5"/>
  <c r="AM192" i="5" s="1"/>
  <c r="AE411" i="5"/>
  <c r="AE71" i="5"/>
  <c r="AE45" i="5"/>
  <c r="AE46" i="5"/>
  <c r="AD105" i="5"/>
  <c r="AF113" i="5"/>
  <c r="AM113" i="5" s="1"/>
  <c r="AE428" i="5"/>
  <c r="AE64" i="5"/>
  <c r="AE61" i="5"/>
  <c r="AE63" i="5"/>
  <c r="AD49" i="5"/>
  <c r="AD48" i="5"/>
  <c r="AE237" i="5"/>
  <c r="AF43" i="5"/>
  <c r="AM43" i="5" s="1"/>
  <c r="AF106" i="5"/>
  <c r="AM106" i="5" s="1"/>
  <c r="AE336" i="5"/>
  <c r="AE335" i="5"/>
  <c r="AD108" i="5"/>
  <c r="AD381" i="5"/>
  <c r="AD251" i="5"/>
  <c r="AE409" i="5"/>
  <c r="AF57" i="5"/>
  <c r="AM57" i="5" s="1"/>
  <c r="AF137" i="5"/>
  <c r="AM137" i="5" s="1"/>
  <c r="AF384" i="5"/>
  <c r="AM384" i="5" s="1"/>
  <c r="K181" i="6" s="1"/>
  <c r="L181" i="6" s="1"/>
  <c r="AD99" i="5"/>
  <c r="AE48" i="5"/>
  <c r="AF352" i="5"/>
  <c r="AM352" i="5" s="1"/>
  <c r="K149" i="6" s="1"/>
  <c r="L149" i="6" s="1"/>
  <c r="AE108" i="5"/>
  <c r="AE110" i="5"/>
  <c r="AE107" i="5"/>
  <c r="AE111" i="5"/>
  <c r="AD97" i="5"/>
  <c r="AD47" i="5"/>
  <c r="AD146" i="5"/>
  <c r="AE226" i="5"/>
  <c r="AE227" i="5"/>
  <c r="AE229" i="5"/>
  <c r="AE228" i="5"/>
  <c r="AE225" i="5"/>
  <c r="AE230" i="5"/>
  <c r="AE332" i="5"/>
  <c r="AF218" i="5"/>
  <c r="AM218" i="5" s="1"/>
  <c r="AM287" i="5"/>
  <c r="K84" i="6" s="1"/>
  <c r="L84" i="6" s="1"/>
  <c r="AE424" i="5"/>
  <c r="AE410" i="5"/>
  <c r="AE32" i="5"/>
  <c r="AD101" i="5"/>
  <c r="AD104" i="5"/>
  <c r="AD100" i="5"/>
  <c r="AE295" i="5"/>
  <c r="AE283" i="5"/>
  <c r="AE284" i="5"/>
  <c r="AD107" i="5"/>
  <c r="AE333" i="5"/>
  <c r="AD45" i="5"/>
  <c r="AF158" i="5"/>
  <c r="AM158" i="5" s="1"/>
  <c r="AF294" i="5"/>
  <c r="AM294" i="5" s="1"/>
  <c r="K91" i="6" s="1"/>
  <c r="L91" i="6" s="1"/>
  <c r="AE44" i="5"/>
  <c r="AE28" i="5"/>
  <c r="AE97" i="5"/>
  <c r="AE101" i="5"/>
  <c r="AE102" i="5"/>
  <c r="AE233" i="5"/>
  <c r="AE232" i="5"/>
  <c r="AE231" i="5"/>
  <c r="AE194" i="5"/>
  <c r="AE195" i="5"/>
  <c r="AE62" i="5"/>
  <c r="AE301" i="5"/>
  <c r="AE297" i="5"/>
  <c r="AD138" i="5"/>
  <c r="AD139" i="5"/>
  <c r="AD102" i="5"/>
  <c r="AD144" i="5"/>
  <c r="AD215" i="5"/>
  <c r="AD322" i="5"/>
  <c r="AF105" i="5"/>
  <c r="AM105" i="5" s="1"/>
  <c r="AF210" i="5"/>
  <c r="AM210" i="5" s="1"/>
  <c r="AF197" i="5"/>
  <c r="AM197" i="5" s="1"/>
  <c r="AE405" i="5"/>
  <c r="AF289" i="5"/>
  <c r="AM289" i="5" s="1"/>
  <c r="K86" i="6" s="1"/>
  <c r="L86" i="6" s="1"/>
  <c r="AF339" i="5"/>
  <c r="AM339" i="5" s="1"/>
  <c r="K136" i="6" s="1"/>
  <c r="L136" i="6" s="1"/>
  <c r="AF335" i="5"/>
  <c r="AM335" i="5" s="1"/>
  <c r="K132" i="6" s="1"/>
  <c r="L132" i="6" s="1"/>
  <c r="AE315" i="5"/>
  <c r="AE43" i="5"/>
  <c r="AE113" i="5"/>
  <c r="AE112" i="5"/>
  <c r="AE69" i="5"/>
  <c r="AE68" i="5"/>
  <c r="AF42" i="5"/>
  <c r="AM42" i="5" s="1"/>
  <c r="AE75" i="5"/>
  <c r="AE72" i="5"/>
  <c r="AE74" i="5"/>
  <c r="AE76" i="5"/>
  <c r="AE73" i="5"/>
  <c r="AF44" i="5"/>
  <c r="AM44" i="5" s="1"/>
  <c r="AE328" i="5"/>
  <c r="AE287" i="5"/>
  <c r="AE288" i="5"/>
  <c r="AE289" i="5"/>
  <c r="AE286" i="5"/>
  <c r="AE290" i="5"/>
  <c r="AE292" i="5"/>
  <c r="AD147" i="5"/>
  <c r="AF46" i="5"/>
  <c r="AM46" i="5" s="1"/>
  <c r="AD106" i="5"/>
  <c r="AE427" i="5"/>
  <c r="AM286" i="5"/>
  <c r="K83" i="6" s="1"/>
  <c r="L83" i="6" s="1"/>
  <c r="AE382" i="5"/>
  <c r="AD426" i="5"/>
  <c r="AF101" i="5"/>
  <c r="AM101" i="5" s="1"/>
  <c r="AD413" i="5"/>
  <c r="AD271" i="5"/>
  <c r="AF26" i="5"/>
  <c r="AM26" i="5" s="1"/>
  <c r="AF265" i="5"/>
  <c r="AM265" i="5" s="1"/>
  <c r="K62" i="6" s="1"/>
  <c r="L62" i="6" s="1"/>
  <c r="AD95" i="5"/>
  <c r="AF117" i="5"/>
  <c r="AM117" i="5" s="1"/>
  <c r="AE318" i="5"/>
  <c r="AE193" i="5"/>
  <c r="AE281" i="5"/>
  <c r="AE280" i="5"/>
  <c r="AF45" i="5"/>
  <c r="AM45" i="5" s="1"/>
  <c r="AE331" i="5"/>
  <c r="AE282" i="5"/>
  <c r="AE299" i="5"/>
  <c r="AE298" i="5"/>
  <c r="AE296" i="5"/>
  <c r="AE294" i="5"/>
  <c r="AE300" i="5"/>
  <c r="AE334" i="5"/>
  <c r="AE100" i="5"/>
  <c r="AD167" i="5"/>
  <c r="AD161" i="5"/>
  <c r="AD162" i="5"/>
  <c r="AD164" i="5"/>
  <c r="AD165" i="5"/>
  <c r="AD160" i="5"/>
  <c r="AD163" i="5"/>
  <c r="AD292" i="5"/>
  <c r="AD289" i="5"/>
  <c r="AD291" i="5"/>
  <c r="AD290" i="5"/>
  <c r="AE221" i="5"/>
  <c r="AE219" i="5"/>
  <c r="AE220" i="5"/>
  <c r="AD264" i="5"/>
  <c r="AD265" i="5"/>
  <c r="AD266" i="5"/>
  <c r="AD221" i="5"/>
  <c r="AD222" i="5"/>
  <c r="AF72" i="5"/>
  <c r="AM72" i="5" s="1"/>
  <c r="AF70" i="5"/>
  <c r="AM70" i="5" s="1"/>
  <c r="AF71" i="5"/>
  <c r="AM71" i="5" s="1"/>
  <c r="AE251" i="5"/>
  <c r="AE250" i="5"/>
  <c r="AF315" i="5"/>
  <c r="AM315" i="5" s="1"/>
  <c r="K112" i="6" s="1"/>
  <c r="L112" i="6" s="1"/>
  <c r="AF313" i="5"/>
  <c r="AM313" i="5" s="1"/>
  <c r="K110" i="6" s="1"/>
  <c r="L110" i="6" s="1"/>
  <c r="AF316" i="5"/>
  <c r="AM316" i="5" s="1"/>
  <c r="K113" i="6" s="1"/>
  <c r="L113" i="6" s="1"/>
  <c r="AF317" i="5"/>
  <c r="AM317" i="5" s="1"/>
  <c r="K114" i="6" s="1"/>
  <c r="L114" i="6" s="1"/>
  <c r="AF320" i="5"/>
  <c r="AM320" i="5" s="1"/>
  <c r="K117" i="6" s="1"/>
  <c r="L117" i="6" s="1"/>
  <c r="AF318" i="5"/>
  <c r="AM318" i="5" s="1"/>
  <c r="K115" i="6" s="1"/>
  <c r="L115" i="6" s="1"/>
  <c r="AF319" i="5"/>
  <c r="AM319" i="5" s="1"/>
  <c r="K116" i="6" s="1"/>
  <c r="L116" i="6" s="1"/>
  <c r="AE94" i="5"/>
  <c r="AE95" i="5"/>
  <c r="AE92" i="5"/>
  <c r="AE91" i="5"/>
  <c r="AE96" i="5"/>
  <c r="AE93" i="5"/>
  <c r="AE90" i="5"/>
  <c r="AD319" i="5"/>
  <c r="AD320" i="5"/>
  <c r="AD316" i="5"/>
  <c r="AD318" i="5"/>
  <c r="AF314" i="5"/>
  <c r="AM314" i="5" s="1"/>
  <c r="K111" i="6" s="1"/>
  <c r="L111" i="6" s="1"/>
  <c r="AD188" i="5"/>
  <c r="AF40" i="5"/>
  <c r="AM40" i="5" s="1"/>
  <c r="AF41" i="5"/>
  <c r="AM41" i="5" s="1"/>
  <c r="AF31" i="5"/>
  <c r="AM31" i="5" s="1"/>
  <c r="AD181" i="5"/>
  <c r="AF356" i="5"/>
  <c r="AM356" i="5" s="1"/>
  <c r="K153" i="6" s="1"/>
  <c r="L153" i="6" s="1"/>
  <c r="AF357" i="5"/>
  <c r="AM357" i="5" s="1"/>
  <c r="K154" i="6" s="1"/>
  <c r="L154" i="6" s="1"/>
  <c r="AD261" i="5"/>
  <c r="AD262" i="5"/>
  <c r="AD263" i="5"/>
  <c r="AF191" i="5"/>
  <c r="AM191" i="5" s="1"/>
  <c r="AF190" i="5"/>
  <c r="AM190" i="5" s="1"/>
  <c r="AF381" i="5"/>
  <c r="AM381" i="5" s="1"/>
  <c r="K178" i="6" s="1"/>
  <c r="L178" i="6" s="1"/>
  <c r="AF382" i="5"/>
  <c r="AM382" i="5" s="1"/>
  <c r="K179" i="6" s="1"/>
  <c r="L179" i="6" s="1"/>
  <c r="AF380" i="5"/>
  <c r="AM380" i="5" s="1"/>
  <c r="K177" i="6" s="1"/>
  <c r="L177" i="6" s="1"/>
  <c r="AF379" i="5"/>
  <c r="AM379" i="5" s="1"/>
  <c r="K176" i="6" s="1"/>
  <c r="L176" i="6" s="1"/>
  <c r="AF383" i="5"/>
  <c r="AM383" i="5" s="1"/>
  <c r="K180" i="6" s="1"/>
  <c r="L180" i="6" s="1"/>
  <c r="AF275" i="5"/>
  <c r="AM275" i="5" s="1"/>
  <c r="K72" i="6" s="1"/>
  <c r="L72" i="6" s="1"/>
  <c r="AF276" i="5"/>
  <c r="AM276" i="5" s="1"/>
  <c r="K73" i="6" s="1"/>
  <c r="L73" i="6" s="1"/>
  <c r="AF278" i="5"/>
  <c r="AM278" i="5" s="1"/>
  <c r="K75" i="6" s="1"/>
  <c r="L75" i="6" s="1"/>
  <c r="AF273" i="5"/>
  <c r="AM273" i="5" s="1"/>
  <c r="K70" i="6" s="1"/>
  <c r="L70" i="6" s="1"/>
  <c r="AF277" i="5"/>
  <c r="AM277" i="5" s="1"/>
  <c r="K74" i="6" s="1"/>
  <c r="L74" i="6" s="1"/>
  <c r="AF274" i="5"/>
  <c r="AM274" i="5" s="1"/>
  <c r="K71" i="6" s="1"/>
  <c r="L71" i="6" s="1"/>
  <c r="AE175" i="5"/>
  <c r="AE174" i="5"/>
  <c r="AE178" i="5"/>
  <c r="AE177" i="5"/>
  <c r="AE176" i="5"/>
  <c r="AE179" i="5"/>
  <c r="AD332" i="5"/>
  <c r="AD333" i="5"/>
  <c r="AD334" i="5"/>
  <c r="AD331" i="5"/>
  <c r="AD330" i="5"/>
  <c r="AD340" i="5"/>
  <c r="AD339" i="5"/>
  <c r="AD338" i="5"/>
  <c r="AD71" i="5"/>
  <c r="AD72" i="5"/>
  <c r="AD70" i="5"/>
  <c r="AE326" i="5"/>
  <c r="AE327" i="5"/>
  <c r="AD202" i="5"/>
  <c r="AD201" i="5"/>
  <c r="AF385" i="5"/>
  <c r="AM385" i="5" s="1"/>
  <c r="K182" i="6" s="1"/>
  <c r="L182" i="6" s="1"/>
  <c r="AF386" i="5"/>
  <c r="AM386" i="5" s="1"/>
  <c r="K183" i="6" s="1"/>
  <c r="L183" i="6" s="1"/>
  <c r="AF37" i="5"/>
  <c r="AM37" i="5" s="1"/>
  <c r="AF33" i="5"/>
  <c r="AM33" i="5" s="1"/>
  <c r="AF35" i="5"/>
  <c r="AM35" i="5" s="1"/>
  <c r="AF34" i="5"/>
  <c r="AM34" i="5" s="1"/>
  <c r="AF36" i="5"/>
  <c r="AM36" i="5" s="1"/>
  <c r="AF32" i="5"/>
  <c r="AM32" i="5" s="1"/>
  <c r="AF27" i="5"/>
  <c r="AM27" i="5" s="1"/>
  <c r="AF219" i="5"/>
  <c r="AM219" i="5" s="1"/>
  <c r="AD231" i="5"/>
  <c r="AD230" i="5"/>
  <c r="AF358" i="5"/>
  <c r="AM358" i="5" s="1"/>
  <c r="K155" i="6" s="1"/>
  <c r="L155" i="6" s="1"/>
  <c r="AF297" i="5"/>
  <c r="AM297" i="5" s="1"/>
  <c r="K94" i="6" s="1"/>
  <c r="L94" i="6" s="1"/>
  <c r="AD91" i="5"/>
  <c r="AD90" i="5"/>
  <c r="AD89" i="5"/>
  <c r="AD88" i="5"/>
  <c r="AD93" i="5"/>
  <c r="AD86" i="5"/>
  <c r="AD87" i="5"/>
  <c r="AD92" i="5"/>
  <c r="AE41" i="5"/>
  <c r="AE39" i="5"/>
  <c r="AE38" i="5"/>
  <c r="AE40" i="5"/>
  <c r="AE35" i="5"/>
  <c r="AE36" i="5"/>
  <c r="AE37" i="5"/>
  <c r="AE319" i="5"/>
  <c r="AF195" i="5"/>
  <c r="AM195" i="5" s="1"/>
  <c r="AE34" i="5"/>
  <c r="AE264" i="5"/>
  <c r="AE256" i="5"/>
  <c r="AE260" i="5"/>
  <c r="AE261" i="5"/>
  <c r="AE258" i="5"/>
  <c r="AE262" i="5"/>
  <c r="AE263" i="5"/>
  <c r="AE255" i="5"/>
  <c r="AE257" i="5"/>
  <c r="AD409" i="5"/>
  <c r="AD404" i="5"/>
  <c r="AD406" i="5"/>
  <c r="AF325" i="5"/>
  <c r="AM325" i="5" s="1"/>
  <c r="K122" i="6" s="1"/>
  <c r="L122" i="6" s="1"/>
  <c r="AF324" i="5"/>
  <c r="AM324" i="5" s="1"/>
  <c r="K121" i="6" s="1"/>
  <c r="L121" i="6" s="1"/>
  <c r="AF326" i="5"/>
  <c r="AM326" i="5" s="1"/>
  <c r="K123" i="6" s="1"/>
  <c r="L123" i="6" s="1"/>
  <c r="AF327" i="5"/>
  <c r="AM327" i="5" s="1"/>
  <c r="K124" i="6" s="1"/>
  <c r="L124" i="6" s="1"/>
  <c r="AD246" i="5"/>
  <c r="AD247" i="5"/>
  <c r="AD248" i="5"/>
  <c r="AD243" i="5"/>
  <c r="AF303" i="5"/>
  <c r="AM303" i="5" s="1"/>
  <c r="K100" i="6" s="1"/>
  <c r="L100" i="6" s="1"/>
  <c r="AF304" i="5"/>
  <c r="AM304" i="5" s="1"/>
  <c r="K101" i="6" s="1"/>
  <c r="L101" i="6" s="1"/>
  <c r="AF231" i="5"/>
  <c r="AM231" i="5" s="1"/>
  <c r="K28" i="6" s="1"/>
  <c r="L28" i="6" s="1"/>
  <c r="AF229" i="5"/>
  <c r="AM229" i="5" s="1"/>
  <c r="K26" i="6" s="1"/>
  <c r="L26" i="6" s="1"/>
  <c r="AF230" i="5"/>
  <c r="AM230" i="5" s="1"/>
  <c r="K27" i="6" s="1"/>
  <c r="L27" i="6" s="1"/>
  <c r="AD358" i="5"/>
  <c r="AD355" i="5"/>
  <c r="AD357" i="5"/>
  <c r="AD356" i="5"/>
  <c r="AF295" i="5"/>
  <c r="AM295" i="5" s="1"/>
  <c r="K92" i="6" s="1"/>
  <c r="L92" i="6" s="1"/>
  <c r="AF93" i="5"/>
  <c r="AM93" i="5" s="1"/>
  <c r="AF92" i="5"/>
  <c r="AM92" i="5" s="1"/>
  <c r="AF90" i="5"/>
  <c r="AM90" i="5" s="1"/>
  <c r="AD405" i="5"/>
  <c r="AD217" i="5"/>
  <c r="AF184" i="5"/>
  <c r="AM184" i="5" s="1"/>
  <c r="AF183" i="5"/>
  <c r="AM183" i="5" s="1"/>
  <c r="AF181" i="5"/>
  <c r="AM181" i="5" s="1"/>
  <c r="AF182" i="5"/>
  <c r="AM182" i="5" s="1"/>
  <c r="AD235" i="5"/>
  <c r="AF411" i="5"/>
  <c r="AM411" i="5" s="1"/>
  <c r="K208" i="6" s="1"/>
  <c r="L208" i="6" s="1"/>
  <c r="AF416" i="5"/>
  <c r="AM416" i="5" s="1"/>
  <c r="K213" i="6" s="1"/>
  <c r="L213" i="6" s="1"/>
  <c r="AF414" i="5"/>
  <c r="AM414" i="5" s="1"/>
  <c r="K211" i="6" s="1"/>
  <c r="L211" i="6" s="1"/>
  <c r="AF412" i="5"/>
  <c r="AM412" i="5" s="1"/>
  <c r="K209" i="6" s="1"/>
  <c r="L209" i="6" s="1"/>
  <c r="AF415" i="5"/>
  <c r="AM415" i="5" s="1"/>
  <c r="K212" i="6" s="1"/>
  <c r="L212" i="6" s="1"/>
  <c r="AF413" i="5"/>
  <c r="AM413" i="5" s="1"/>
  <c r="K210" i="6" s="1"/>
  <c r="L210" i="6" s="1"/>
  <c r="AD44" i="5"/>
  <c r="AD41" i="5"/>
  <c r="AD43" i="5"/>
  <c r="AD42" i="5"/>
  <c r="AE222" i="5"/>
  <c r="AE223" i="5"/>
  <c r="AE24" i="5"/>
  <c r="AE26" i="5"/>
  <c r="AE25" i="5"/>
  <c r="AD365" i="5"/>
  <c r="AD364" i="5"/>
  <c r="AD69" i="5"/>
  <c r="AD68" i="5"/>
  <c r="AD66" i="5"/>
  <c r="AD67" i="5"/>
  <c r="AD74" i="5"/>
  <c r="AD73" i="5"/>
  <c r="AE324" i="5"/>
  <c r="AE325" i="5"/>
  <c r="AE53" i="5"/>
  <c r="AE55" i="5"/>
  <c r="AE54" i="5"/>
  <c r="AE56" i="5"/>
  <c r="AE60" i="5"/>
  <c r="AE57" i="5"/>
  <c r="AE59" i="5"/>
  <c r="AE58" i="5"/>
  <c r="AE51" i="5"/>
  <c r="AD134" i="5"/>
  <c r="AD137" i="5"/>
  <c r="AD135" i="5"/>
  <c r="AD132" i="5"/>
  <c r="AD127" i="5"/>
  <c r="AD131" i="5"/>
  <c r="AD136" i="5"/>
  <c r="AD130" i="5"/>
  <c r="AD129" i="5"/>
  <c r="AD128" i="5"/>
  <c r="AF132" i="5"/>
  <c r="AM132" i="5" s="1"/>
  <c r="AF133" i="5"/>
  <c r="AM133" i="5" s="1"/>
  <c r="AF134" i="5"/>
  <c r="AM134" i="5" s="1"/>
  <c r="AF136" i="5"/>
  <c r="AM136" i="5" s="1"/>
  <c r="AF135" i="5"/>
  <c r="AM135" i="5" s="1"/>
  <c r="AF387" i="5"/>
  <c r="AM387" i="5" s="1"/>
  <c r="K184" i="6" s="1"/>
  <c r="L184" i="6" s="1"/>
  <c r="AF389" i="5"/>
  <c r="AM389" i="5" s="1"/>
  <c r="K186" i="6" s="1"/>
  <c r="L186" i="6" s="1"/>
  <c r="AF388" i="5"/>
  <c r="AM388" i="5" s="1"/>
  <c r="K185" i="6" s="1"/>
  <c r="L185" i="6" s="1"/>
  <c r="AF159" i="5"/>
  <c r="AM159" i="5" s="1"/>
  <c r="AF281" i="5"/>
  <c r="AM281" i="5" s="1"/>
  <c r="K78" i="6" s="1"/>
  <c r="L78" i="6" s="1"/>
  <c r="AF280" i="5"/>
  <c r="AM280" i="5" s="1"/>
  <c r="K77" i="6" s="1"/>
  <c r="L77" i="6" s="1"/>
  <c r="AF269" i="5"/>
  <c r="AM269" i="5" s="1"/>
  <c r="K66" i="6" s="1"/>
  <c r="L66" i="6" s="1"/>
  <c r="AF270" i="5"/>
  <c r="AM270" i="5" s="1"/>
  <c r="K67" i="6" s="1"/>
  <c r="L67" i="6" s="1"/>
  <c r="AF185" i="5"/>
  <c r="AM185" i="5" s="1"/>
  <c r="AF186" i="5"/>
  <c r="AM186" i="5" s="1"/>
  <c r="AF187" i="5"/>
  <c r="AM187" i="5" s="1"/>
  <c r="AF188" i="5"/>
  <c r="AM188" i="5" s="1"/>
  <c r="AF293" i="5"/>
  <c r="AM293" i="5" s="1"/>
  <c r="K90" i="6" s="1"/>
  <c r="L90" i="6" s="1"/>
  <c r="AF81" i="5"/>
  <c r="AM81" i="5" s="1"/>
  <c r="AF86" i="5"/>
  <c r="AM86" i="5" s="1"/>
  <c r="AF85" i="5"/>
  <c r="AM85" i="5" s="1"/>
  <c r="AF84" i="5"/>
  <c r="AM84" i="5" s="1"/>
  <c r="AF83" i="5"/>
  <c r="AM83" i="5" s="1"/>
  <c r="AF88" i="5"/>
  <c r="AM88" i="5" s="1"/>
  <c r="AF82" i="5"/>
  <c r="AM82" i="5" s="1"/>
  <c r="AF87" i="5"/>
  <c r="AM87" i="5" s="1"/>
  <c r="AD219" i="5"/>
  <c r="AF91" i="5"/>
  <c r="AM91" i="5" s="1"/>
  <c r="AE317" i="5"/>
  <c r="AD117" i="5"/>
  <c r="AD114" i="5"/>
  <c r="AD110" i="5"/>
  <c r="AD119" i="5"/>
  <c r="AD118" i="5"/>
  <c r="AD116" i="5"/>
  <c r="AD121" i="5"/>
  <c r="AD115" i="5"/>
  <c r="AD120" i="5"/>
  <c r="AD112" i="5"/>
  <c r="AD408" i="5"/>
  <c r="AD421" i="5"/>
  <c r="AD425" i="5"/>
  <c r="AE407" i="5"/>
  <c r="AE245" i="5"/>
  <c r="AE249" i="5"/>
  <c r="AE248" i="5"/>
  <c r="AE243" i="5"/>
  <c r="AE244" i="5"/>
  <c r="AE246" i="5"/>
  <c r="AE240" i="5"/>
  <c r="AE241" i="5"/>
  <c r="AE242" i="5"/>
  <c r="AE247" i="5"/>
  <c r="AE239" i="5"/>
  <c r="AE238" i="5"/>
  <c r="AE259" i="5"/>
  <c r="AF205" i="5"/>
  <c r="AM205" i="5" s="1"/>
  <c r="AF236" i="5"/>
  <c r="AM236" i="5" s="1"/>
  <c r="K33" i="6" s="1"/>
  <c r="L33" i="6" s="1"/>
  <c r="AF235" i="5"/>
  <c r="AM235" i="5" s="1"/>
  <c r="K32" i="6" s="1"/>
  <c r="L32" i="6" s="1"/>
  <c r="AE209" i="5"/>
  <c r="AE208" i="5"/>
  <c r="AE206" i="5"/>
  <c r="AE201" i="5"/>
  <c r="AE203" i="5"/>
  <c r="AE205" i="5"/>
  <c r="AE198" i="5"/>
  <c r="AE202" i="5"/>
  <c r="AE199" i="5"/>
  <c r="AF241" i="5"/>
  <c r="AM241" i="5" s="1"/>
  <c r="K38" i="6" s="1"/>
  <c r="L38" i="6" s="1"/>
  <c r="AF242" i="5"/>
  <c r="AM242" i="5" s="1"/>
  <c r="K39" i="6" s="1"/>
  <c r="L39" i="6" s="1"/>
  <c r="AF240" i="5"/>
  <c r="AM240" i="5" s="1"/>
  <c r="K37" i="6" s="1"/>
  <c r="L37" i="6" s="1"/>
  <c r="AF239" i="5"/>
  <c r="AM239" i="5" s="1"/>
  <c r="K36" i="6" s="1"/>
  <c r="L36" i="6" s="1"/>
  <c r="AE172" i="5"/>
  <c r="AE171" i="5"/>
  <c r="AE170" i="5"/>
  <c r="AE173" i="5"/>
  <c r="AD270" i="5"/>
  <c r="AD269" i="5"/>
  <c r="AD77" i="5"/>
  <c r="AD76" i="5"/>
  <c r="AD75" i="5"/>
  <c r="AD80" i="5"/>
  <c r="AD78" i="5"/>
  <c r="AD79" i="5"/>
  <c r="AF348" i="5"/>
  <c r="AM348" i="5" s="1"/>
  <c r="K145" i="6" s="1"/>
  <c r="L145" i="6" s="1"/>
  <c r="AF346" i="5"/>
  <c r="AM346" i="5" s="1"/>
  <c r="K143" i="6" s="1"/>
  <c r="L143" i="6" s="1"/>
  <c r="AF341" i="5"/>
  <c r="AM341" i="5" s="1"/>
  <c r="K138" i="6" s="1"/>
  <c r="L138" i="6" s="1"/>
  <c r="AF347" i="5"/>
  <c r="AM347" i="5" s="1"/>
  <c r="K144" i="6" s="1"/>
  <c r="L144" i="6" s="1"/>
  <c r="AF342" i="5"/>
  <c r="AM342" i="5" s="1"/>
  <c r="K139" i="6" s="1"/>
  <c r="L139" i="6" s="1"/>
  <c r="AF345" i="5"/>
  <c r="AM345" i="5" s="1"/>
  <c r="K142" i="6" s="1"/>
  <c r="L142" i="6" s="1"/>
  <c r="AF220" i="5"/>
  <c r="AM220" i="5" s="1"/>
  <c r="AF217" i="5"/>
  <c r="AM217" i="5" s="1"/>
  <c r="AE363" i="5"/>
  <c r="AE365" i="5"/>
  <c r="AE366" i="5"/>
  <c r="AE364" i="5"/>
  <c r="AE362" i="5"/>
  <c r="AE361" i="5"/>
  <c r="AF174" i="5"/>
  <c r="AM174" i="5" s="1"/>
  <c r="AF175" i="5"/>
  <c r="AM175" i="5" s="1"/>
  <c r="AF173" i="5"/>
  <c r="AM173" i="5" s="1"/>
  <c r="AF176" i="5"/>
  <c r="AM176" i="5" s="1"/>
  <c r="AF63" i="5"/>
  <c r="AM63" i="5" s="1"/>
  <c r="AF65" i="5"/>
  <c r="AM65" i="5" s="1"/>
  <c r="AF64" i="5"/>
  <c r="AM64" i="5" s="1"/>
  <c r="AF427" i="5"/>
  <c r="AM427" i="5" s="1"/>
  <c r="K224" i="6" s="1"/>
  <c r="L224" i="6" s="1"/>
  <c r="AF426" i="5"/>
  <c r="AM426" i="5" s="1"/>
  <c r="K223" i="6" s="1"/>
  <c r="L223" i="6" s="1"/>
  <c r="AF428" i="5"/>
  <c r="AM428" i="5" s="1"/>
  <c r="K225" i="6" s="1"/>
  <c r="L225" i="6" s="1"/>
  <c r="AF425" i="5"/>
  <c r="AM425" i="5" s="1"/>
  <c r="K222" i="6" s="1"/>
  <c r="L222" i="6" s="1"/>
  <c r="AF429" i="5"/>
  <c r="AM429" i="5" s="1"/>
  <c r="K226" i="6" s="1"/>
  <c r="L226" i="6" s="1"/>
  <c r="AD363" i="5"/>
  <c r="AD362" i="5"/>
  <c r="AD359" i="5"/>
  <c r="AD361" i="5"/>
  <c r="AD360" i="5"/>
  <c r="AD245" i="5"/>
  <c r="AF199" i="5"/>
  <c r="AM199" i="5" s="1"/>
  <c r="AF200" i="5"/>
  <c r="AM200" i="5" s="1"/>
  <c r="AD250" i="5"/>
  <c r="AD249" i="5"/>
  <c r="AD306" i="5"/>
  <c r="AD305" i="5"/>
  <c r="AF268" i="5"/>
  <c r="AM268" i="5" s="1"/>
  <c r="K65" i="6" s="1"/>
  <c r="L65" i="6" s="1"/>
  <c r="AF267" i="5"/>
  <c r="AM267" i="5" s="1"/>
  <c r="K64" i="6" s="1"/>
  <c r="L64" i="6" s="1"/>
  <c r="AF344" i="5"/>
  <c r="AM344" i="5" s="1"/>
  <c r="K141" i="6" s="1"/>
  <c r="L141" i="6" s="1"/>
  <c r="AD31" i="5"/>
  <c r="AE322" i="5"/>
  <c r="AD407" i="5"/>
  <c r="AD377" i="5"/>
  <c r="AE426" i="5"/>
  <c r="AE33" i="5"/>
  <c r="AD416" i="5"/>
  <c r="AD415" i="5"/>
  <c r="AD414" i="5"/>
  <c r="AD85" i="5"/>
  <c r="AD84" i="5"/>
  <c r="AD83" i="5"/>
  <c r="AD82" i="5"/>
  <c r="AD81" i="5"/>
  <c r="AF364" i="5"/>
  <c r="AM364" i="5" s="1"/>
  <c r="K161" i="6" s="1"/>
  <c r="L161" i="6" s="1"/>
  <c r="AF365" i="5"/>
  <c r="AM365" i="5" s="1"/>
  <c r="K162" i="6" s="1"/>
  <c r="L162" i="6" s="1"/>
  <c r="AF58" i="5"/>
  <c r="AM58" i="5" s="1"/>
  <c r="AF60" i="5"/>
  <c r="AM60" i="5" s="1"/>
  <c r="AF59" i="5"/>
  <c r="AM59" i="5" s="1"/>
  <c r="AF55" i="5"/>
  <c r="AM55" i="5" s="1"/>
  <c r="AF56" i="5"/>
  <c r="AM56" i="5" s="1"/>
  <c r="AF50" i="5"/>
  <c r="AM50" i="5" s="1"/>
  <c r="AF52" i="5"/>
  <c r="AM52" i="5" s="1"/>
  <c r="AF51" i="5"/>
  <c r="AM51" i="5" s="1"/>
  <c r="AF49" i="5"/>
  <c r="AM49" i="5" s="1"/>
  <c r="AD389" i="5"/>
  <c r="AD385" i="5"/>
  <c r="AD388" i="5"/>
  <c r="AD387" i="5"/>
  <c r="AD384" i="5"/>
  <c r="AD279" i="5"/>
  <c r="AD281" i="5"/>
  <c r="AD280" i="5"/>
  <c r="AD352" i="5"/>
  <c r="AD351" i="5"/>
  <c r="AF152" i="5"/>
  <c r="AM152" i="5" s="1"/>
  <c r="AF153" i="5"/>
  <c r="AM153" i="5" s="1"/>
  <c r="AE415" i="5"/>
  <c r="AE412" i="5"/>
  <c r="AE414" i="5"/>
  <c r="AD237" i="5"/>
  <c r="AD238" i="5"/>
  <c r="AD29" i="5"/>
  <c r="AD28" i="5"/>
  <c r="AD26" i="5"/>
  <c r="AD27" i="5"/>
  <c r="AF263" i="5"/>
  <c r="AM263" i="5" s="1"/>
  <c r="K60" i="6" s="1"/>
  <c r="L60" i="6" s="1"/>
  <c r="AF256" i="5"/>
  <c r="AM256" i="5" s="1"/>
  <c r="K53" i="6" s="1"/>
  <c r="L53" i="6" s="1"/>
  <c r="AF253" i="5"/>
  <c r="AM253" i="5" s="1"/>
  <c r="K50" i="6" s="1"/>
  <c r="L50" i="6" s="1"/>
  <c r="AF264" i="5"/>
  <c r="AM264" i="5" s="1"/>
  <c r="K61" i="6" s="1"/>
  <c r="L61" i="6" s="1"/>
  <c r="AF262" i="5"/>
  <c r="AM262" i="5" s="1"/>
  <c r="K59" i="6" s="1"/>
  <c r="L59" i="6" s="1"/>
  <c r="AF259" i="5"/>
  <c r="AM259" i="5" s="1"/>
  <c r="K56" i="6" s="1"/>
  <c r="L56" i="6" s="1"/>
  <c r="AF261" i="5"/>
  <c r="AM261" i="5" s="1"/>
  <c r="K58" i="6" s="1"/>
  <c r="L58" i="6" s="1"/>
  <c r="AF255" i="5"/>
  <c r="AM255" i="5" s="1"/>
  <c r="K52" i="6" s="1"/>
  <c r="L52" i="6" s="1"/>
  <c r="AD184" i="5"/>
  <c r="AD185" i="5"/>
  <c r="AD182" i="5"/>
  <c r="AD180" i="5"/>
  <c r="AD186" i="5"/>
  <c r="AD183" i="5"/>
  <c r="AD187" i="5"/>
  <c r="AF62" i="5"/>
  <c r="AM62" i="5" s="1"/>
  <c r="AF61" i="5"/>
  <c r="AM61" i="5" s="1"/>
  <c r="AD272" i="5"/>
  <c r="AE338" i="5"/>
  <c r="AE346" i="5"/>
  <c r="AE340" i="5"/>
  <c r="AE337" i="5"/>
  <c r="AE347" i="5"/>
  <c r="AE341" i="5"/>
  <c r="AE339" i="5"/>
  <c r="AE343" i="5"/>
  <c r="AE342" i="5"/>
  <c r="AE344" i="5"/>
  <c r="AE345" i="5"/>
  <c r="AE348" i="5"/>
  <c r="AF108" i="5"/>
  <c r="AM108" i="5" s="1"/>
  <c r="AF107" i="5"/>
  <c r="AM107" i="5" s="1"/>
  <c r="AD325" i="5"/>
  <c r="AD326" i="5"/>
  <c r="AD327" i="5"/>
  <c r="AE386" i="5"/>
  <c r="AD200" i="5"/>
  <c r="AD197" i="5"/>
  <c r="AD199" i="5"/>
  <c r="AD196" i="5"/>
  <c r="AD198" i="5"/>
  <c r="AF254" i="5"/>
  <c r="AM254" i="5" s="1"/>
  <c r="K51" i="6" s="1"/>
  <c r="L51" i="6" s="1"/>
  <c r="AF306" i="5"/>
  <c r="AM306" i="5" s="1"/>
  <c r="K103" i="6" s="1"/>
  <c r="L103" i="6" s="1"/>
  <c r="AF305" i="5"/>
  <c r="AM305" i="5" s="1"/>
  <c r="K102" i="6" s="1"/>
  <c r="L102" i="6" s="1"/>
  <c r="AD38" i="5"/>
  <c r="AD392" i="5"/>
  <c r="AD391" i="5"/>
  <c r="AD155" i="5"/>
  <c r="AD148" i="5"/>
  <c r="AD159" i="5"/>
  <c r="AD149" i="5"/>
  <c r="AD158" i="5"/>
  <c r="AD150" i="5"/>
  <c r="AD156" i="5"/>
  <c r="AD153" i="5"/>
  <c r="AD157" i="5"/>
  <c r="AD154" i="5"/>
  <c r="AD152" i="5"/>
  <c r="AD151" i="5"/>
  <c r="AF298" i="5"/>
  <c r="AM298" i="5" s="1"/>
  <c r="K95" i="6" s="1"/>
  <c r="L95" i="6" s="1"/>
  <c r="AF340" i="5"/>
  <c r="AM340" i="5" s="1"/>
  <c r="K137" i="6" s="1"/>
  <c r="L137" i="6" s="1"/>
  <c r="AF338" i="5"/>
  <c r="AM338" i="5" s="1"/>
  <c r="K135" i="6" s="1"/>
  <c r="L135" i="6" s="1"/>
  <c r="AF332" i="5"/>
  <c r="AM332" i="5" s="1"/>
  <c r="K129" i="6" s="1"/>
  <c r="L129" i="6" s="1"/>
  <c r="AF258" i="5"/>
  <c r="AM258" i="5" s="1"/>
  <c r="K55" i="6" s="1"/>
  <c r="L55" i="6" s="1"/>
  <c r="AE376" i="5"/>
  <c r="AE375" i="5"/>
  <c r="AE368" i="5"/>
  <c r="AE373" i="5"/>
  <c r="AE371" i="5"/>
  <c r="AE369" i="5"/>
  <c r="AE374" i="5"/>
  <c r="AE370" i="5"/>
  <c r="AE367" i="5"/>
  <c r="AD375" i="5"/>
  <c r="AD374" i="5"/>
  <c r="AF94" i="5"/>
  <c r="AM94" i="5" s="1"/>
  <c r="AF95" i="5"/>
  <c r="AM95" i="5" s="1"/>
  <c r="AE419" i="5"/>
  <c r="AE417" i="5"/>
  <c r="AD379" i="5"/>
  <c r="AF54" i="5"/>
  <c r="AM54" i="5" s="1"/>
  <c r="AD214" i="5"/>
  <c r="AE360" i="5"/>
  <c r="AF354" i="5"/>
  <c r="AM354" i="5" s="1"/>
  <c r="K151" i="6" s="1"/>
  <c r="L151" i="6" s="1"/>
  <c r="AF353" i="5"/>
  <c r="AM353" i="5" s="1"/>
  <c r="K150" i="6" s="1"/>
  <c r="L150" i="6" s="1"/>
  <c r="AE30" i="5"/>
  <c r="AD328" i="5"/>
  <c r="AD329" i="5"/>
  <c r="AD204" i="5"/>
  <c r="AD203" i="5"/>
  <c r="AD205" i="5"/>
  <c r="AD299" i="5"/>
  <c r="AD294" i="5"/>
  <c r="AD297" i="5"/>
  <c r="AD295" i="5"/>
  <c r="AF215" i="5"/>
  <c r="AM215" i="5" s="1"/>
  <c r="AF216" i="5"/>
  <c r="AM216" i="5" s="1"/>
  <c r="AF214" i="5"/>
  <c r="AM214" i="5" s="1"/>
  <c r="AE87" i="5"/>
  <c r="AE88" i="5"/>
  <c r="AE79" i="5"/>
  <c r="AE85" i="5"/>
  <c r="AE86" i="5"/>
  <c r="AE84" i="5"/>
  <c r="AE77" i="5"/>
  <c r="AE82" i="5"/>
  <c r="AE83" i="5"/>
  <c r="AE81" i="5"/>
  <c r="AE80" i="5"/>
  <c r="AF122" i="5"/>
  <c r="AM122" i="5" s="1"/>
  <c r="AF125" i="5"/>
  <c r="AM125" i="5" s="1"/>
  <c r="AF126" i="5"/>
  <c r="AM126" i="5" s="1"/>
  <c r="AF124" i="5"/>
  <c r="AM124" i="5" s="1"/>
  <c r="AF123" i="5"/>
  <c r="AM123" i="5" s="1"/>
  <c r="AF127" i="5"/>
  <c r="AM127" i="5" s="1"/>
  <c r="AD401" i="5"/>
  <c r="AF349" i="5"/>
  <c r="AM349" i="5" s="1"/>
  <c r="K146" i="6" s="1"/>
  <c r="L146" i="6" s="1"/>
  <c r="AF350" i="5"/>
  <c r="AM350" i="5" s="1"/>
  <c r="K147" i="6" s="1"/>
  <c r="L147" i="6" s="1"/>
  <c r="AF149" i="5"/>
  <c r="AM149" i="5" s="1"/>
  <c r="AF145" i="5"/>
  <c r="AM145" i="5" s="1"/>
  <c r="AF147" i="5"/>
  <c r="AM147" i="5" s="1"/>
  <c r="AF148" i="5"/>
  <c r="AM148" i="5" s="1"/>
  <c r="AF146" i="5"/>
  <c r="AM146" i="5" s="1"/>
  <c r="AF370" i="5"/>
  <c r="AM370" i="5" s="1"/>
  <c r="K167" i="6" s="1"/>
  <c r="L167" i="6" s="1"/>
  <c r="AF367" i="5"/>
  <c r="AM367" i="5" s="1"/>
  <c r="K164" i="6" s="1"/>
  <c r="L164" i="6" s="1"/>
  <c r="AF368" i="5"/>
  <c r="AM368" i="5" s="1"/>
  <c r="K165" i="6" s="1"/>
  <c r="L165" i="6" s="1"/>
  <c r="AF369" i="5"/>
  <c r="AM369" i="5" s="1"/>
  <c r="K166" i="6" s="1"/>
  <c r="L166" i="6" s="1"/>
  <c r="AF143" i="5"/>
  <c r="AM143" i="5" s="1"/>
  <c r="AF144" i="5"/>
  <c r="AM144" i="5" s="1"/>
  <c r="AF237" i="5"/>
  <c r="AM237" i="5" s="1"/>
  <c r="K34" i="6" s="1"/>
  <c r="L34" i="6" s="1"/>
  <c r="AF238" i="5"/>
  <c r="AM238" i="5" s="1"/>
  <c r="K35" i="6" s="1"/>
  <c r="L35" i="6" s="1"/>
  <c r="AD313" i="5"/>
  <c r="AD312" i="5"/>
  <c r="AD311" i="5"/>
  <c r="AE388" i="5"/>
  <c r="AE391" i="5"/>
  <c r="AE390" i="5"/>
  <c r="AE389" i="5"/>
  <c r="AF410" i="5"/>
  <c r="AM410" i="5" s="1"/>
  <c r="K207" i="6" s="1"/>
  <c r="L207" i="6" s="1"/>
  <c r="AF409" i="5"/>
  <c r="AM409" i="5" s="1"/>
  <c r="K206" i="6" s="1"/>
  <c r="L206" i="6" s="1"/>
  <c r="AF402" i="5"/>
  <c r="AM402" i="5" s="1"/>
  <c r="K199" i="6" s="1"/>
  <c r="L199" i="6" s="1"/>
  <c r="AF408" i="5"/>
  <c r="AM408" i="5" s="1"/>
  <c r="K205" i="6" s="1"/>
  <c r="L205" i="6" s="1"/>
  <c r="AF400" i="5"/>
  <c r="AM400" i="5" s="1"/>
  <c r="K197" i="6" s="1"/>
  <c r="L197" i="6" s="1"/>
  <c r="AF401" i="5"/>
  <c r="AM401" i="5" s="1"/>
  <c r="K198" i="6" s="1"/>
  <c r="L198" i="6" s="1"/>
  <c r="AF405" i="5"/>
  <c r="AM405" i="5" s="1"/>
  <c r="K202" i="6" s="1"/>
  <c r="L202" i="6" s="1"/>
  <c r="AF407" i="5"/>
  <c r="AM407" i="5" s="1"/>
  <c r="K204" i="6" s="1"/>
  <c r="L204" i="6" s="1"/>
  <c r="AF406" i="5"/>
  <c r="AM406" i="5" s="1"/>
  <c r="K203" i="6" s="1"/>
  <c r="L203" i="6" s="1"/>
  <c r="AF399" i="5"/>
  <c r="AM399" i="5" s="1"/>
  <c r="K196" i="6" s="1"/>
  <c r="L196" i="6" s="1"/>
  <c r="AD286" i="5"/>
  <c r="AD288" i="5"/>
  <c r="AD287" i="5"/>
  <c r="AE421" i="5"/>
  <c r="AE420" i="5"/>
  <c r="AD236" i="5"/>
  <c r="AF141" i="5"/>
  <c r="AM141" i="5" s="1"/>
  <c r="AF140" i="5"/>
  <c r="AM140" i="5" s="1"/>
  <c r="AF142" i="5"/>
  <c r="AM142" i="5" s="1"/>
  <c r="AF100" i="5"/>
  <c r="AM100" i="5" s="1"/>
  <c r="AF98" i="5"/>
  <c r="AM98" i="5" s="1"/>
  <c r="AF96" i="5"/>
  <c r="AM96" i="5" s="1"/>
  <c r="AF97" i="5"/>
  <c r="AM97" i="5" s="1"/>
  <c r="AF99" i="5"/>
  <c r="AM99" i="5" s="1"/>
  <c r="AM331" i="5"/>
  <c r="K128" i="6" s="1"/>
  <c r="L128" i="6" s="1"/>
  <c r="AF80" i="5"/>
  <c r="AM80" i="5" s="1"/>
  <c r="AF74" i="5"/>
  <c r="AM74" i="5" s="1"/>
  <c r="AF77" i="5"/>
  <c r="AM77" i="5" s="1"/>
  <c r="AF75" i="5"/>
  <c r="AM75" i="5" s="1"/>
  <c r="AF76" i="5"/>
  <c r="AM76" i="5" s="1"/>
  <c r="AF79" i="5"/>
  <c r="AM79" i="5" s="1"/>
  <c r="AF73" i="5"/>
  <c r="AM73" i="5" s="1"/>
  <c r="AF78" i="5"/>
  <c r="AM78" i="5" s="1"/>
  <c r="AD337" i="5"/>
  <c r="AD336" i="5"/>
  <c r="AD335" i="5"/>
  <c r="AD210" i="5"/>
  <c r="AD209" i="5"/>
  <c r="AD207" i="5"/>
  <c r="AD208" i="5"/>
  <c r="AD206" i="5"/>
  <c r="AF139" i="5"/>
  <c r="AM139" i="5" s="1"/>
  <c r="AF130" i="5"/>
  <c r="AM130" i="5" s="1"/>
  <c r="AF131" i="5"/>
  <c r="AM131" i="5" s="1"/>
  <c r="AF129" i="5"/>
  <c r="AM129" i="5" s="1"/>
  <c r="AF128" i="5"/>
  <c r="AM128" i="5" s="1"/>
  <c r="AE385" i="5"/>
  <c r="AF291" i="5"/>
  <c r="AM291" i="5" s="1"/>
  <c r="K88" i="6" s="1"/>
  <c r="L88" i="6" s="1"/>
  <c r="AF300" i="5"/>
  <c r="AM300" i="5" s="1"/>
  <c r="K97" i="6" s="1"/>
  <c r="L97" i="6" s="1"/>
  <c r="AF290" i="5"/>
  <c r="AM290" i="5" s="1"/>
  <c r="K87" i="6" s="1"/>
  <c r="L87" i="6" s="1"/>
  <c r="AF299" i="5"/>
  <c r="AM299" i="5" s="1"/>
  <c r="K96" i="6" s="1"/>
  <c r="L96" i="6" s="1"/>
  <c r="AF292" i="5"/>
  <c r="AM292" i="5" s="1"/>
  <c r="K89" i="6" s="1"/>
  <c r="L89" i="6" s="1"/>
  <c r="AF310" i="5"/>
  <c r="AM310" i="5" s="1"/>
  <c r="K107" i="6" s="1"/>
  <c r="L107" i="6" s="1"/>
  <c r="AF309" i="5"/>
  <c r="AM309" i="5" s="1"/>
  <c r="K106" i="6" s="1"/>
  <c r="L106" i="6" s="1"/>
  <c r="AD168" i="5"/>
  <c r="AD170" i="5"/>
  <c r="AD171" i="5"/>
  <c r="AD169" i="5"/>
  <c r="AF38" i="5"/>
  <c r="AM38" i="5" s="1"/>
  <c r="AD395" i="5"/>
  <c r="AD394" i="5"/>
  <c r="AD393" i="5"/>
  <c r="AE167" i="5"/>
  <c r="AE169" i="5"/>
  <c r="AE168" i="5"/>
  <c r="AE164" i="5"/>
  <c r="AE163" i="5"/>
  <c r="AE166" i="5"/>
  <c r="AE165" i="5"/>
  <c r="AD244" i="5"/>
  <c r="AD25" i="5"/>
  <c r="AF257" i="5"/>
  <c r="AM257" i="5" s="1"/>
  <c r="K54" i="6" s="1"/>
  <c r="L54" i="6" s="1"/>
  <c r="AF337" i="5"/>
  <c r="AM337" i="5" s="1"/>
  <c r="K134" i="6" s="1"/>
  <c r="L134" i="6" s="1"/>
  <c r="AE413" i="5"/>
  <c r="AF376" i="5"/>
  <c r="AM376" i="5" s="1"/>
  <c r="K173" i="6" s="1"/>
  <c r="L173" i="6" s="1"/>
  <c r="AD300" i="5"/>
  <c r="AE204" i="5"/>
  <c r="AF89" i="5"/>
  <c r="AM89" i="5" s="1"/>
  <c r="AD125" i="5"/>
  <c r="AD122" i="5"/>
  <c r="AD124" i="5"/>
  <c r="AD126" i="5"/>
  <c r="AD123" i="5"/>
  <c r="AE50" i="5"/>
  <c r="AF418" i="5"/>
  <c r="AM418" i="5" s="1"/>
  <c r="K215" i="6" s="1"/>
  <c r="L215" i="6" s="1"/>
  <c r="AF417" i="5"/>
  <c r="AM417" i="5" s="1"/>
  <c r="K214" i="6" s="1"/>
  <c r="L214" i="6" s="1"/>
  <c r="AF419" i="5"/>
  <c r="AM419" i="5" s="1"/>
  <c r="K216" i="6" s="1"/>
  <c r="L216" i="6" s="1"/>
  <c r="AD380" i="5"/>
  <c r="AF53" i="5"/>
  <c r="AM53" i="5" s="1"/>
  <c r="AD216" i="5"/>
  <c r="AE359" i="5"/>
  <c r="AF284" i="5"/>
  <c r="AM284" i="5" s="1"/>
  <c r="K81" i="6" s="1"/>
  <c r="L81" i="6" s="1"/>
  <c r="AF285" i="5"/>
  <c r="AM285" i="5" s="1"/>
  <c r="K82" i="6" s="1"/>
  <c r="L82" i="6" s="1"/>
  <c r="AD353" i="5"/>
  <c r="AD354" i="5"/>
  <c r="AF68" i="5"/>
  <c r="AM68" i="5" s="1"/>
  <c r="AF66" i="5"/>
  <c r="AM66" i="5" s="1"/>
  <c r="AF69" i="5"/>
  <c r="AM69" i="5" s="1"/>
  <c r="AD239" i="5"/>
  <c r="AD240" i="5"/>
  <c r="AD242" i="5"/>
  <c r="AD241" i="5"/>
  <c r="AF67" i="5"/>
  <c r="AM67" i="5" s="1"/>
  <c r="AF189" i="5"/>
  <c r="AM189" i="5" s="1"/>
  <c r="AD229" i="5"/>
  <c r="AD227" i="5"/>
  <c r="AD226" i="5"/>
  <c r="AD224" i="5"/>
  <c r="AD225" i="5"/>
  <c r="AD228" i="5"/>
  <c r="AF351" i="5"/>
  <c r="AM351" i="5" s="1"/>
  <c r="K148" i="6" s="1"/>
  <c r="L148" i="6" s="1"/>
  <c r="AD213" i="5"/>
  <c r="AD211" i="5"/>
  <c r="AD212" i="5"/>
  <c r="AE252" i="5"/>
  <c r="AE254" i="5"/>
  <c r="AE253" i="5"/>
  <c r="AF169" i="5"/>
  <c r="AM169" i="5" s="1"/>
  <c r="AF172" i="5"/>
  <c r="AM172" i="5" s="1"/>
  <c r="AF168" i="5"/>
  <c r="AM168" i="5" s="1"/>
  <c r="AF170" i="5"/>
  <c r="AM170" i="5" s="1"/>
  <c r="AF171" i="5"/>
  <c r="AM171" i="5" s="1"/>
  <c r="AD315" i="5"/>
  <c r="AD314" i="5"/>
  <c r="AF224" i="5"/>
  <c r="AM224" i="5" s="1"/>
  <c r="K21" i="6" s="1"/>
  <c r="L21" i="6" s="1"/>
  <c r="AF225" i="5"/>
  <c r="AM225" i="5" s="1"/>
  <c r="K22" i="6" s="1"/>
  <c r="L22" i="6" s="1"/>
  <c r="AD256" i="5"/>
  <c r="AD252" i="5"/>
  <c r="AD253" i="5"/>
  <c r="AD259" i="5"/>
  <c r="AD258" i="5"/>
  <c r="AD257" i="5"/>
  <c r="AD260" i="5"/>
  <c r="AD254" i="5"/>
  <c r="AD376" i="5"/>
  <c r="AF272" i="5"/>
  <c r="AM272" i="5" s="1"/>
  <c r="K69" i="6" s="1"/>
  <c r="L69" i="6" s="1"/>
  <c r="AF271" i="5"/>
  <c r="AM271" i="5" s="1"/>
  <c r="K68" i="6" s="1"/>
  <c r="L68" i="6" s="1"/>
  <c r="AE143" i="5"/>
  <c r="AE142" i="5"/>
  <c r="AE140" i="5"/>
  <c r="AE144" i="5"/>
  <c r="AE141" i="5"/>
  <c r="AE416" i="5"/>
  <c r="AE125" i="5"/>
  <c r="AE123" i="5"/>
  <c r="AE124" i="5"/>
  <c r="AE118" i="5"/>
  <c r="AE126" i="5"/>
  <c r="AE128" i="5"/>
  <c r="AE129" i="5"/>
  <c r="AE127" i="5"/>
  <c r="AE121" i="5"/>
  <c r="AE122" i="5"/>
  <c r="AE133" i="5"/>
  <c r="AE132" i="5"/>
  <c r="AE135" i="5"/>
  <c r="AE136" i="5"/>
  <c r="AE134" i="5"/>
  <c r="AE137" i="5"/>
  <c r="AE138" i="5"/>
  <c r="AE139" i="5"/>
  <c r="AE130" i="5"/>
  <c r="AE131" i="5"/>
  <c r="AE384" i="5"/>
  <c r="AF211" i="5"/>
  <c r="AM211" i="5" s="1"/>
  <c r="AF212" i="5"/>
  <c r="AM212" i="5" s="1"/>
  <c r="AF202" i="5"/>
  <c r="AM202" i="5" s="1"/>
  <c r="AF201" i="5"/>
  <c r="AM201" i="5" s="1"/>
  <c r="AD310" i="5"/>
  <c r="AD309" i="5"/>
  <c r="AD308" i="5"/>
  <c r="AF392" i="5"/>
  <c r="AM392" i="5" s="1"/>
  <c r="K189" i="6" s="1"/>
  <c r="L189" i="6" s="1"/>
  <c r="AF394" i="5"/>
  <c r="AM394" i="5" s="1"/>
  <c r="K191" i="6" s="1"/>
  <c r="L191" i="6" s="1"/>
  <c r="AF395" i="5"/>
  <c r="AM395" i="5" s="1"/>
  <c r="K192" i="6" s="1"/>
  <c r="L192" i="6" s="1"/>
  <c r="AF391" i="5"/>
  <c r="AM391" i="5" s="1"/>
  <c r="K188" i="6" s="1"/>
  <c r="L188" i="6" s="1"/>
  <c r="AF390" i="5"/>
  <c r="AM390" i="5" s="1"/>
  <c r="K187" i="6" s="1"/>
  <c r="L187" i="6" s="1"/>
  <c r="AF393" i="5"/>
  <c r="AM393" i="5" s="1"/>
  <c r="K190" i="6" s="1"/>
  <c r="L190" i="6" s="1"/>
  <c r="AF221" i="5"/>
  <c r="AM221" i="5" s="1"/>
  <c r="K18" i="6" s="1"/>
  <c r="L18" i="6" s="1"/>
  <c r="AF25" i="5"/>
  <c r="AM25" i="5" s="1"/>
  <c r="AF24" i="5"/>
  <c r="AM24" i="5" s="1"/>
  <c r="AD233" i="5"/>
  <c r="AD232" i="5"/>
  <c r="AD267" i="5"/>
  <c r="AD268" i="5"/>
  <c r="AD317" i="5"/>
  <c r="AE120" i="5"/>
  <c r="AD32" i="5"/>
  <c r="AD293" i="5"/>
  <c r="AF330" i="5"/>
  <c r="AM330" i="5" s="1"/>
  <c r="K127" i="6" s="1"/>
  <c r="L127" i="6" s="1"/>
  <c r="AE89" i="5"/>
  <c r="AF29" i="5"/>
  <c r="AM29" i="5" s="1"/>
  <c r="AD113" i="5"/>
  <c r="AD382" i="5"/>
  <c r="AE357" i="5"/>
  <c r="AD427" i="5"/>
  <c r="AD428" i="5"/>
  <c r="AE183" i="5"/>
  <c r="AE188" i="5"/>
  <c r="AE185" i="5"/>
  <c r="AE190" i="5"/>
  <c r="AE184" i="5"/>
  <c r="AE191" i="5"/>
  <c r="AE180" i="5"/>
  <c r="AE182" i="5"/>
  <c r="AE181" i="5"/>
  <c r="AE189" i="5"/>
  <c r="AE186" i="5"/>
  <c r="AE187" i="5"/>
  <c r="AF209" i="5"/>
  <c r="AM209" i="5" s="1"/>
  <c r="AF206" i="5"/>
  <c r="AM206" i="5" s="1"/>
  <c r="AF208" i="5"/>
  <c r="AM208" i="5" s="1"/>
  <c r="AF207" i="5"/>
  <c r="AM207" i="5" s="1"/>
  <c r="AD36" i="5"/>
  <c r="AD34" i="5"/>
  <c r="AD37" i="5"/>
  <c r="AD35" i="5"/>
  <c r="AD220" i="5"/>
  <c r="AD218" i="5"/>
  <c r="AE378" i="5"/>
  <c r="AF213" i="5"/>
  <c r="AM213" i="5" s="1"/>
  <c r="AF165" i="5"/>
  <c r="AM165" i="5" s="1"/>
  <c r="AF164" i="5"/>
  <c r="AM164" i="5" s="1"/>
  <c r="AF163" i="5"/>
  <c r="AM163" i="5" s="1"/>
  <c r="AF227" i="5"/>
  <c r="AM227" i="5" s="1"/>
  <c r="K24" i="6" s="1"/>
  <c r="L24" i="6" s="1"/>
  <c r="AF226" i="5"/>
  <c r="AM226" i="5" s="1"/>
  <c r="K23" i="6" s="1"/>
  <c r="L23" i="6" s="1"/>
  <c r="AF222" i="5"/>
  <c r="AM222" i="5" s="1"/>
  <c r="K19" i="6" s="1"/>
  <c r="L19" i="6" s="1"/>
  <c r="AF223" i="5"/>
  <c r="AM223" i="5" s="1"/>
  <c r="K20" i="6" s="1"/>
  <c r="L20" i="6" s="1"/>
  <c r="AD429" i="5"/>
  <c r="AE310" i="5"/>
  <c r="AE311" i="5"/>
  <c r="AE305" i="5"/>
  <c r="AE312" i="5"/>
  <c r="AE302" i="5"/>
  <c r="AE304" i="5"/>
  <c r="AE306" i="5"/>
  <c r="AE303" i="5"/>
  <c r="AE309" i="5"/>
  <c r="AE307" i="5"/>
  <c r="AE308" i="5"/>
  <c r="AE313" i="5"/>
  <c r="AD194" i="5"/>
  <c r="AD193" i="5"/>
  <c r="AD192" i="5"/>
  <c r="AD195" i="5"/>
  <c r="AD372" i="5"/>
  <c r="AD370" i="5"/>
  <c r="AD371" i="5"/>
  <c r="AD367" i="5"/>
  <c r="AD369" i="5"/>
  <c r="AD368" i="5"/>
  <c r="AD373" i="5"/>
  <c r="AE418" i="5"/>
  <c r="AF203" i="5"/>
  <c r="AM203" i="5" s="1"/>
  <c r="AF204" i="5"/>
  <c r="AM204" i="5" s="1"/>
  <c r="AF363" i="5"/>
  <c r="AM363" i="5" s="1"/>
  <c r="K160" i="6" s="1"/>
  <c r="L160" i="6" s="1"/>
  <c r="AF359" i="5"/>
  <c r="AM359" i="5" s="1"/>
  <c r="K156" i="6" s="1"/>
  <c r="L156" i="6" s="1"/>
  <c r="AF362" i="5"/>
  <c r="AM362" i="5" s="1"/>
  <c r="K159" i="6" s="1"/>
  <c r="L159" i="6" s="1"/>
  <c r="AF360" i="5"/>
  <c r="AM360" i="5" s="1"/>
  <c r="K157" i="6" s="1"/>
  <c r="L157" i="6" s="1"/>
  <c r="AF161" i="5"/>
  <c r="AM161" i="5" s="1"/>
  <c r="AF160" i="5"/>
  <c r="AM160" i="5" s="1"/>
  <c r="AF162" i="5"/>
  <c r="AM162" i="5" s="1"/>
  <c r="AM334" i="5"/>
  <c r="K131" i="6" s="1"/>
  <c r="L131" i="6" s="1"/>
  <c r="AD282" i="5"/>
  <c r="AD283" i="5"/>
  <c r="AE52" i="5"/>
  <c r="AF260" i="5"/>
  <c r="AM260" i="5" s="1"/>
  <c r="K57" i="6" s="1"/>
  <c r="L57" i="6" s="1"/>
  <c r="AE149" i="5"/>
  <c r="AE145" i="5"/>
  <c r="AE147" i="5"/>
  <c r="AE150" i="5"/>
  <c r="AE146" i="5"/>
  <c r="AE151" i="5"/>
  <c r="AE148" i="5"/>
  <c r="AD396" i="5"/>
  <c r="AD298" i="5"/>
  <c r="AF333" i="5"/>
  <c r="AM333" i="5" s="1"/>
  <c r="K130" i="6" s="1"/>
  <c r="L130" i="6" s="1"/>
  <c r="AE49" i="5"/>
  <c r="AF28" i="5"/>
  <c r="AM28" i="5" s="1"/>
  <c r="AF404" i="5"/>
  <c r="AM404" i="5" s="1"/>
  <c r="K201" i="6" s="1"/>
  <c r="L201" i="6" s="1"/>
  <c r="AD383" i="5"/>
  <c r="AE200" i="5"/>
  <c r="AE358" i="5"/>
  <c r="AD350" i="5"/>
  <c r="AD349" i="5"/>
  <c r="AD348" i="5"/>
  <c r="AE354" i="5"/>
  <c r="AE351" i="5"/>
  <c r="AE353" i="5"/>
  <c r="AE350" i="5"/>
  <c r="AE352" i="5"/>
  <c r="AE355" i="5"/>
  <c r="AD33" i="5"/>
  <c r="AD63" i="5"/>
  <c r="AD65" i="5"/>
  <c r="AD64" i="5"/>
  <c r="AF156" i="5"/>
  <c r="AM156" i="5" s="1"/>
  <c r="AF155" i="5"/>
  <c r="AM155" i="5" s="1"/>
  <c r="AF154" i="5"/>
  <c r="AM154" i="5" s="1"/>
  <c r="AF157" i="5"/>
  <c r="AM157" i="5" s="1"/>
  <c r="AF104" i="5"/>
  <c r="AM104" i="5" s="1"/>
  <c r="AF102" i="5"/>
  <c r="AM102" i="5" s="1"/>
  <c r="AF103" i="5"/>
  <c r="AM103" i="5" s="1"/>
  <c r="AD424" i="5"/>
  <c r="AD423" i="5"/>
  <c r="AD175" i="5"/>
  <c r="AD173" i="5"/>
  <c r="AD176" i="5"/>
  <c r="AD174" i="5"/>
  <c r="AD177" i="5"/>
  <c r="AD172" i="5"/>
  <c r="AD178" i="5"/>
  <c r="AD179" i="5"/>
  <c r="AF323" i="5"/>
  <c r="AM323" i="5" s="1"/>
  <c r="K120" i="6" s="1"/>
  <c r="L120" i="6" s="1"/>
  <c r="AF322" i="5"/>
  <c r="AM322" i="5" s="1"/>
  <c r="K119" i="6" s="1"/>
  <c r="L119" i="6" s="1"/>
  <c r="AF321" i="5"/>
  <c r="AM321" i="5" s="1"/>
  <c r="K118" i="6" s="1"/>
  <c r="L118" i="6" s="1"/>
  <c r="AE383" i="5"/>
  <c r="AE377" i="5"/>
  <c r="AE381" i="5"/>
  <c r="AE379" i="5"/>
  <c r="AE380" i="5"/>
  <c r="AE387" i="5"/>
  <c r="AE323" i="5"/>
  <c r="AE314" i="5"/>
  <c r="AE316" i="5"/>
  <c r="AD412" i="5"/>
  <c r="AD410" i="5"/>
  <c r="AD411" i="5"/>
  <c r="AD60" i="5"/>
  <c r="AD59" i="5"/>
  <c r="AD56" i="5"/>
  <c r="AD54" i="5"/>
  <c r="AD52" i="5"/>
  <c r="AD51" i="5"/>
  <c r="AD50" i="5"/>
  <c r="AD61" i="5"/>
  <c r="AD57" i="5"/>
  <c r="AD55" i="5"/>
  <c r="AD58" i="5"/>
  <c r="AD53" i="5"/>
  <c r="AE159" i="5"/>
  <c r="AE154" i="5"/>
  <c r="AE153" i="5"/>
  <c r="AE157" i="5"/>
  <c r="AE155" i="5"/>
  <c r="AE152" i="5"/>
  <c r="AE156" i="5"/>
  <c r="AE161" i="5"/>
  <c r="AE158" i="5"/>
  <c r="AE162" i="5"/>
  <c r="AE429" i="5"/>
  <c r="AD303" i="5"/>
  <c r="AD304" i="5"/>
  <c r="AD323" i="5"/>
  <c r="AD321" i="5"/>
  <c r="AD324" i="5"/>
  <c r="AD302" i="5"/>
  <c r="AD301" i="5"/>
  <c r="AF282" i="5"/>
  <c r="AM282" i="5" s="1"/>
  <c r="K79" i="6" s="1"/>
  <c r="L79" i="6" s="1"/>
  <c r="AF283" i="5"/>
  <c r="AM283" i="5" s="1"/>
  <c r="K80" i="6" s="1"/>
  <c r="L80" i="6" s="1"/>
  <c r="AF279" i="5"/>
  <c r="AM279" i="5" s="1"/>
  <c r="K76" i="6" s="1"/>
  <c r="L76" i="6" s="1"/>
  <c r="AF233" i="5"/>
  <c r="AM233" i="5" s="1"/>
  <c r="K30" i="6" s="1"/>
  <c r="L30" i="6" s="1"/>
  <c r="AF232" i="5"/>
  <c r="AM232" i="5" s="1"/>
  <c r="K29" i="6" s="1"/>
  <c r="L29" i="6" s="1"/>
  <c r="AF377" i="5"/>
  <c r="AM377" i="5" s="1"/>
  <c r="K174" i="6" s="1"/>
  <c r="L174" i="6" s="1"/>
  <c r="AF378" i="5"/>
  <c r="AM378" i="5" s="1"/>
  <c r="K175" i="6" s="1"/>
  <c r="L175" i="6" s="1"/>
  <c r="AE212" i="5"/>
  <c r="AE218" i="5"/>
  <c r="AE211" i="5"/>
  <c r="AE215" i="5"/>
  <c r="AE210" i="5"/>
  <c r="AE216" i="5"/>
  <c r="AE217" i="5"/>
  <c r="AE214" i="5"/>
  <c r="AE213" i="5"/>
  <c r="AD296" i="5"/>
  <c r="AD40" i="5"/>
  <c r="AD39" i="5"/>
  <c r="AF361" i="5"/>
  <c r="AM361" i="5" s="1"/>
  <c r="K158" i="6" s="1"/>
  <c r="L158" i="6" s="1"/>
  <c r="AF329" i="5"/>
  <c r="AM329" i="5" s="1"/>
  <c r="K126" i="6" s="1"/>
  <c r="L126" i="6" s="1"/>
  <c r="AF307" i="5"/>
  <c r="AM307" i="5" s="1"/>
  <c r="K104" i="6" s="1"/>
  <c r="L104" i="6" s="1"/>
  <c r="AF116" i="5"/>
  <c r="AM116" i="5" s="1"/>
  <c r="AF115" i="5"/>
  <c r="AM115" i="5" s="1"/>
  <c r="AF114" i="5"/>
  <c r="AM114" i="5" s="1"/>
  <c r="AF119" i="5"/>
  <c r="AM119" i="5" s="1"/>
  <c r="AF111" i="5"/>
  <c r="AM111" i="5" s="1"/>
  <c r="AF118" i="5"/>
  <c r="AM118" i="5" s="1"/>
  <c r="AF121" i="5"/>
  <c r="AM121" i="5" s="1"/>
  <c r="AF112" i="5"/>
  <c r="AM112" i="5" s="1"/>
  <c r="AF120" i="5"/>
  <c r="AM120" i="5" s="1"/>
  <c r="AF30" i="5"/>
  <c r="AM30" i="5" s="1"/>
  <c r="AD402" i="5"/>
  <c r="AM398" i="5"/>
  <c r="K195" i="6" s="1"/>
  <c r="L195" i="6" s="1"/>
  <c r="AD422" i="5"/>
  <c r="AD390" i="5"/>
  <c r="AE404" i="5"/>
  <c r="AE356" i="5"/>
  <c r="AF355" i="5"/>
  <c r="AM355" i="5" s="1"/>
  <c r="K152" i="6" s="1"/>
  <c r="L152" i="6" s="1"/>
  <c r="AD418" i="5"/>
  <c r="AD190" i="5"/>
  <c r="AD191" i="5"/>
  <c r="AD189" i="5"/>
  <c r="AD342" i="5"/>
  <c r="AD346" i="5"/>
  <c r="AD347" i="5"/>
  <c r="AD343" i="5"/>
  <c r="AD344" i="5"/>
  <c r="AD341" i="5"/>
  <c r="AD345" i="5"/>
  <c r="AD166" i="5"/>
  <c r="AD378" i="5"/>
  <c r="AF39" i="5"/>
  <c r="AM39" i="5" s="1"/>
  <c r="AF423" i="5"/>
  <c r="AM423" i="5" s="1"/>
  <c r="K220" i="6" s="1"/>
  <c r="L220" i="6" s="1"/>
  <c r="AF424" i="5"/>
  <c r="AM424" i="5" s="1"/>
  <c r="K221" i="6" s="1"/>
  <c r="L221" i="6" s="1"/>
  <c r="AF420" i="5"/>
  <c r="AM420" i="5" s="1"/>
  <c r="K217" i="6" s="1"/>
  <c r="L217" i="6" s="1"/>
  <c r="AF421" i="5"/>
  <c r="AM421" i="5" s="1"/>
  <c r="K218" i="6" s="1"/>
  <c r="L218" i="6" s="1"/>
  <c r="AF422" i="5"/>
  <c r="AM422" i="5" s="1"/>
  <c r="K219" i="6" s="1"/>
  <c r="L219" i="6" s="1"/>
  <c r="AF138" i="5"/>
  <c r="AM138" i="5" s="1"/>
  <c r="AD399" i="5"/>
  <c r="AD400" i="5"/>
  <c r="AD398" i="5"/>
  <c r="AD397" i="5"/>
  <c r="AD275" i="5"/>
  <c r="AD276" i="5"/>
  <c r="AD277" i="5"/>
  <c r="AD273" i="5"/>
  <c r="AD274" i="5"/>
  <c r="AF167" i="5"/>
  <c r="AM167" i="5" s="1"/>
  <c r="AF166" i="5"/>
  <c r="AM166" i="5" s="1"/>
  <c r="AD234" i="5"/>
  <c r="AE400" i="5"/>
  <c r="AE399" i="5"/>
  <c r="AE393" i="5"/>
  <c r="AE397" i="5"/>
  <c r="AE396" i="5"/>
  <c r="AE392" i="5"/>
  <c r="AE398" i="5"/>
  <c r="AE395" i="5"/>
  <c r="AE394" i="5"/>
  <c r="AF228" i="5"/>
  <c r="AM228" i="5" s="1"/>
  <c r="K25" i="6" s="1"/>
  <c r="L25" i="6" s="1"/>
  <c r="AD62" i="5"/>
  <c r="AF151" i="5"/>
  <c r="AM151" i="5" s="1"/>
  <c r="AF150" i="5"/>
  <c r="AM150" i="5" s="1"/>
  <c r="AF251" i="5"/>
  <c r="AM251" i="5" s="1"/>
  <c r="K48" i="6" s="1"/>
  <c r="L48" i="6" s="1"/>
  <c r="AF247" i="5"/>
  <c r="AM247" i="5" s="1"/>
  <c r="K44" i="6" s="1"/>
  <c r="L44" i="6" s="1"/>
  <c r="AF246" i="5"/>
  <c r="AM246" i="5" s="1"/>
  <c r="K43" i="6" s="1"/>
  <c r="L43" i="6" s="1"/>
  <c r="AF250" i="5"/>
  <c r="AM250" i="5" s="1"/>
  <c r="K47" i="6" s="1"/>
  <c r="L47" i="6" s="1"/>
  <c r="AF244" i="5"/>
  <c r="AM244" i="5" s="1"/>
  <c r="K41" i="6" s="1"/>
  <c r="L41" i="6" s="1"/>
  <c r="AF248" i="5"/>
  <c r="AM248" i="5" s="1"/>
  <c r="K45" i="6" s="1"/>
  <c r="L45" i="6" s="1"/>
  <c r="AF243" i="5"/>
  <c r="AM243" i="5" s="1"/>
  <c r="K40" i="6" s="1"/>
  <c r="L40" i="6" s="1"/>
  <c r="AF245" i="5"/>
  <c r="AM245" i="5" s="1"/>
  <c r="K42" i="6" s="1"/>
  <c r="L42" i="6" s="1"/>
  <c r="AF249" i="5"/>
  <c r="AM249" i="5" s="1"/>
  <c r="K46" i="6" s="1"/>
  <c r="L46" i="6" s="1"/>
  <c r="AF311" i="5"/>
  <c r="AM311" i="5" s="1"/>
  <c r="K108" i="6" s="1"/>
  <c r="L108" i="6" s="1"/>
  <c r="AF312" i="5"/>
  <c r="AM312" i="5" s="1"/>
  <c r="K109" i="6" s="1"/>
  <c r="L109" i="6" s="1"/>
  <c r="AF302" i="5"/>
  <c r="AM302" i="5" s="1"/>
  <c r="K99" i="6" s="1"/>
  <c r="L99" i="6" s="1"/>
  <c r="AF301" i="5"/>
  <c r="AM301" i="5" s="1"/>
  <c r="K98" i="6" s="1"/>
  <c r="L98" i="6" s="1"/>
  <c r="AF374" i="5"/>
  <c r="AM374" i="5" s="1"/>
  <c r="K171" i="6" s="1"/>
  <c r="L171" i="6" s="1"/>
  <c r="AF371" i="5"/>
  <c r="AM371" i="5" s="1"/>
  <c r="K168" i="6" s="1"/>
  <c r="L168" i="6" s="1"/>
  <c r="AF372" i="5"/>
  <c r="AM372" i="5" s="1"/>
  <c r="K169" i="6" s="1"/>
  <c r="L169" i="6" s="1"/>
  <c r="AF375" i="5"/>
  <c r="AM375" i="5" s="1"/>
  <c r="K172" i="6" s="1"/>
  <c r="L172" i="6" s="1"/>
  <c r="AF373" i="5"/>
  <c r="AM373" i="5" s="1"/>
  <c r="K170" i="6" s="1"/>
  <c r="L170" i="6" s="1"/>
  <c r="AF180" i="5"/>
  <c r="AM180" i="5" s="1"/>
  <c r="AF178" i="5"/>
  <c r="AM178" i="5" s="1"/>
  <c r="AF179" i="5"/>
  <c r="AM179" i="5" s="1"/>
  <c r="AE268" i="5"/>
  <c r="AE269" i="5"/>
  <c r="AE271" i="5"/>
  <c r="AE270" i="5"/>
  <c r="AE272" i="5"/>
  <c r="AE278" i="5"/>
  <c r="AE276" i="5"/>
  <c r="AE279" i="5"/>
  <c r="AE273" i="5"/>
  <c r="AE274" i="5"/>
  <c r="AE275" i="5"/>
  <c r="AE277" i="5"/>
  <c r="AF296" i="5"/>
  <c r="AM296" i="5" s="1"/>
  <c r="K93" i="6" s="1"/>
  <c r="L93" i="6" s="1"/>
  <c r="AM328" i="5"/>
  <c r="K125" i="6" s="1"/>
  <c r="L125" i="6" s="1"/>
  <c r="AM336" i="5"/>
  <c r="K133" i="6" s="1"/>
  <c r="L133" i="6" s="1"/>
  <c r="AE119" i="5"/>
  <c r="AF308" i="5"/>
  <c r="AM308" i="5" s="1"/>
  <c r="K105" i="6" s="1"/>
  <c r="L105" i="6" s="1"/>
  <c r="AF198" i="5"/>
  <c r="AM198" i="5" s="1"/>
  <c r="AD417" i="5"/>
  <c r="AD419" i="5"/>
  <c r="AD403" i="5"/>
  <c r="AD285" i="5"/>
  <c r="AD284" i="5"/>
  <c r="AD24" i="5"/>
  <c r="AF196" i="5"/>
  <c r="AM196" i="5" s="1"/>
</calcChain>
</file>

<file path=xl/sharedStrings.xml><?xml version="1.0" encoding="utf-8"?>
<sst xmlns="http://schemas.openxmlformats.org/spreadsheetml/2006/main" count="860" uniqueCount="505">
  <si>
    <t>Net</t>
  </si>
  <si>
    <t>FOREIGN</t>
  </si>
  <si>
    <t>Foreign</t>
  </si>
  <si>
    <t>Bonds</t>
  </si>
  <si>
    <t>Bond</t>
  </si>
  <si>
    <t>PURCHASES</t>
  </si>
  <si>
    <t>-------</t>
  </si>
  <si>
    <t>1978-01</t>
  </si>
  <si>
    <t>1978-02</t>
  </si>
  <si>
    <t>1978-03</t>
  </si>
  <si>
    <t>1978-04</t>
  </si>
  <si>
    <t>1978-05</t>
  </si>
  <si>
    <t>1978-06</t>
  </si>
  <si>
    <t>1978-07</t>
  </si>
  <si>
    <t>1978-08</t>
  </si>
  <si>
    <t>1978-09</t>
  </si>
  <si>
    <t>Treasury</t>
  </si>
  <si>
    <t>1978-10</t>
  </si>
  <si>
    <t>Agency</t>
  </si>
  <si>
    <t>Corp</t>
  </si>
  <si>
    <t>1978-11</t>
  </si>
  <si>
    <t>1978-12</t>
  </si>
  <si>
    <t>1979-01</t>
  </si>
  <si>
    <t>1979-02</t>
  </si>
  <si>
    <t>1979-03</t>
  </si>
  <si>
    <t>1979-04</t>
  </si>
  <si>
    <t>1979-05</t>
  </si>
  <si>
    <t>1979-06</t>
  </si>
  <si>
    <t>1979-07</t>
  </si>
  <si>
    <t>1979-08</t>
  </si>
  <si>
    <t>1979-09</t>
  </si>
  <si>
    <t>1979-10</t>
  </si>
  <si>
    <t>1979-11</t>
  </si>
  <si>
    <t>1979-12</t>
  </si>
  <si>
    <t>1980-01</t>
  </si>
  <si>
    <t>1980-02</t>
  </si>
  <si>
    <t>1980-03</t>
  </si>
  <si>
    <t>1980-04</t>
  </si>
  <si>
    <t>1980-05</t>
  </si>
  <si>
    <t>1980-06</t>
  </si>
  <si>
    <t>1980-07</t>
  </si>
  <si>
    <t>1980-08</t>
  </si>
  <si>
    <t>1980-09</t>
  </si>
  <si>
    <t>1980-10</t>
  </si>
  <si>
    <t>1980-11</t>
  </si>
  <si>
    <t>1980-12</t>
  </si>
  <si>
    <t>1981-01</t>
  </si>
  <si>
    <t>1981-02</t>
  </si>
  <si>
    <t>1981-03</t>
  </si>
  <si>
    <t>1981-04</t>
  </si>
  <si>
    <t>1981-05</t>
  </si>
  <si>
    <t>1981-06</t>
  </si>
  <si>
    <t>1981-07</t>
  </si>
  <si>
    <t>1981-08</t>
  </si>
  <si>
    <t>1981-09</t>
  </si>
  <si>
    <t>1981-10</t>
  </si>
  <si>
    <t>1981-11</t>
  </si>
  <si>
    <t>1981-12</t>
  </si>
  <si>
    <t>1982-01</t>
  </si>
  <si>
    <t>1982-02</t>
  </si>
  <si>
    <t>1982-03</t>
  </si>
  <si>
    <t>1982-04</t>
  </si>
  <si>
    <t>1982-05</t>
  </si>
  <si>
    <t>1982-06</t>
  </si>
  <si>
    <t>1982-07</t>
  </si>
  <si>
    <t>1982-08</t>
  </si>
  <si>
    <t>1982-09</t>
  </si>
  <si>
    <t>1982-10</t>
  </si>
  <si>
    <t>1982-11</t>
  </si>
  <si>
    <t>1982-12</t>
  </si>
  <si>
    <t>1983-01</t>
  </si>
  <si>
    <t>1983-02</t>
  </si>
  <si>
    <t>1983-03</t>
  </si>
  <si>
    <t>1983-04</t>
  </si>
  <si>
    <t>1983-05</t>
  </si>
  <si>
    <t>1983-06</t>
  </si>
  <si>
    <t>1983-07</t>
  </si>
  <si>
    <t>1983-08</t>
  </si>
  <si>
    <t>1983-09</t>
  </si>
  <si>
    <t>1983-10</t>
  </si>
  <si>
    <t>1983-11</t>
  </si>
  <si>
    <t>1983-12</t>
  </si>
  <si>
    <t>1984-01</t>
  </si>
  <si>
    <t>1984-02</t>
  </si>
  <si>
    <t>1984-03</t>
  </si>
  <si>
    <t>1984-04</t>
  </si>
  <si>
    <t>1984-05</t>
  </si>
  <si>
    <t>1984-06</t>
  </si>
  <si>
    <t>1984-07</t>
  </si>
  <si>
    <t>1984-08</t>
  </si>
  <si>
    <t>1984-09</t>
  </si>
  <si>
    <t>1984-10</t>
  </si>
  <si>
    <t>1984-11</t>
  </si>
  <si>
    <t>1984-12</t>
  </si>
  <si>
    <t>1985-01</t>
  </si>
  <si>
    <t>1985-02</t>
  </si>
  <si>
    <t>1985-03</t>
  </si>
  <si>
    <t>1985-04</t>
  </si>
  <si>
    <t>1985-05</t>
  </si>
  <si>
    <t>1985-06</t>
  </si>
  <si>
    <t>1985-07</t>
  </si>
  <si>
    <t>1985-08</t>
  </si>
  <si>
    <t>1985-09</t>
  </si>
  <si>
    <t>1985-10</t>
  </si>
  <si>
    <t>1985-11</t>
  </si>
  <si>
    <t>1985-12</t>
  </si>
  <si>
    <t>1986-01</t>
  </si>
  <si>
    <t>1986-02</t>
  </si>
  <si>
    <t>1986-03</t>
  </si>
  <si>
    <t>1986-04</t>
  </si>
  <si>
    <t>1986-05</t>
  </si>
  <si>
    <t>1986-06</t>
  </si>
  <si>
    <t>1986-07</t>
  </si>
  <si>
    <t>1986-08</t>
  </si>
  <si>
    <t>1986-09</t>
  </si>
  <si>
    <t>1986-10</t>
  </si>
  <si>
    <t>1986-11</t>
  </si>
  <si>
    <t>1986-12</t>
  </si>
  <si>
    <t>1987-01</t>
  </si>
  <si>
    <t>1987-02</t>
  </si>
  <si>
    <t>1987-03</t>
  </si>
  <si>
    <t>1987-04</t>
  </si>
  <si>
    <t>1987-05</t>
  </si>
  <si>
    <t>1987-06</t>
  </si>
  <si>
    <t>1987-07</t>
  </si>
  <si>
    <t>1987-08</t>
  </si>
  <si>
    <t>1987-09</t>
  </si>
  <si>
    <t>1987-10</t>
  </si>
  <si>
    <t>1987-11</t>
  </si>
  <si>
    <t>1987-12</t>
  </si>
  <si>
    <t>1988-01</t>
  </si>
  <si>
    <t>1988-02</t>
  </si>
  <si>
    <t>1988-03</t>
  </si>
  <si>
    <t>1988-04</t>
  </si>
  <si>
    <t>1988-05</t>
  </si>
  <si>
    <t>1988-06</t>
  </si>
  <si>
    <t>1988-07</t>
  </si>
  <si>
    <t>1988-08</t>
  </si>
  <si>
    <t>1988-09</t>
  </si>
  <si>
    <t>1988-10</t>
  </si>
  <si>
    <t>1988-11</t>
  </si>
  <si>
    <t>1988-12</t>
  </si>
  <si>
    <t>1989-01</t>
  </si>
  <si>
    <t>1989-02</t>
  </si>
  <si>
    <t>1989-03</t>
  </si>
  <si>
    <t>1989-04</t>
  </si>
  <si>
    <t>1989-05</t>
  </si>
  <si>
    <t>1989-06</t>
  </si>
  <si>
    <t>1989-07</t>
  </si>
  <si>
    <t>1989-08</t>
  </si>
  <si>
    <t>1989-09</t>
  </si>
  <si>
    <t>1989-10</t>
  </si>
  <si>
    <t>1989-11</t>
  </si>
  <si>
    <t>1989-12</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</si>
  <si>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</si>
  <si>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</si>
  <si>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</si>
  <si>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</si>
  <si>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</si>
  <si>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</si>
  <si>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</si>
  <si>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</si>
  <si>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</si>
  <si>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</si>
  <si>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</si>
  <si>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</si>
  <si>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</si>
  <si>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</si>
  <si>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</si>
  <si>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</si>
  <si>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</si>
  <si>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</si>
  <si>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</si>
  <si>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</si>
  <si>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</si>
  <si>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</si>
  <si>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</si>
  <si>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</si>
  <si>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</si>
  <si>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</si>
  <si>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</si>
  <si>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</si>
  <si>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</si>
  <si>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</si>
  <si>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</si>
  <si>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</si>
  <si>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</si>
  <si>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</si>
  <si>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</si>
  <si>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</si>
  <si>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</si>
  <si>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</si>
  <si>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</si>
  <si>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</si>
  <si>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</si>
  <si>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TB (Bloomberg)</t>
  </si>
  <si>
    <t>TWI</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</si>
  <si>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</si>
  <si>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</si>
  <si>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</si>
  <si>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</si>
  <si>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</si>
  <si>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</si>
  <si>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</si>
  <si>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</si>
  <si>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</si>
  <si>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</si>
  <si>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</si>
  <si>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</si>
  <si>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</si>
  <si>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</si>
  <si>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</si>
  <si>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</si>
  <si>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</si>
  <si>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</si>
  <si>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</si>
  <si>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</si>
  <si>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</si>
  <si>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</si>
  <si>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</si>
  <si>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</si>
  <si>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</si>
  <si>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</si>
  <si>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</si>
  <si>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</si>
  <si>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</si>
  <si>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</si>
  <si>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</si>
  <si>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</si>
  <si>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</si>
  <si>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</si>
  <si>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</si>
  <si>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</si>
  <si>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</si>
  <si>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</si>
  <si>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</si>
  <si>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</si>
  <si>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</si>
  <si>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</si>
  <si>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</si>
  <si>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</si>
  <si>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</si>
  <si>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</si>
  <si>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</si>
  <si>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</si>
  <si>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</si>
  <si>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</si>
  <si>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</si>
  <si>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</si>
  <si>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</si>
  <si>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</si>
  <si>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</si>
  <si>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</si>
  <si>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</si>
  <si>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</si>
  <si>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</si>
  <si>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</si>
  <si>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</si>
  <si>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</si>
  <si>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</si>
  <si>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</si>
  <si>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</si>
  <si>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</si>
  <si>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</si>
  <si>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</si>
  <si>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</si>
  <si>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</si>
  <si>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</si>
  <si>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</si>
  <si>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</si>
  <si>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</si>
  <si>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</si>
  <si>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</si>
  <si>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</si>
  <si>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</si>
  <si>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</si>
  <si>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</si>
  <si>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</si>
  <si>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</si>
  <si>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</si>
  <si>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</si>
  <si>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</si>
  <si>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</si>
  <si>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</si>
  <si>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</si>
  <si>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</si>
  <si>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</si>
  <si>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</si>
  <si>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</si>
  <si>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</si>
  <si>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</si>
  <si>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</si>
  <si>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</si>
  <si>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</si>
  <si>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</si>
  <si>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</si>
  <si>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</si>
  <si>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</si>
  <si>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</si>
  <si>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</si>
  <si>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</si>
  <si>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</si>
  <si>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</si>
  <si>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</si>
  <si>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</si>
  <si>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</si>
  <si>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</si>
  <si>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</si>
  <si>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</si>
  <si>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</si>
  <si>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</si>
  <si>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</si>
  <si>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</si>
  <si>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</si>
  <si>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</si>
  <si>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</si>
  <si>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</si>
  <si>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</si>
  <si>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</si>
  <si>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</si>
  <si>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</si>
  <si>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</si>
  <si>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</si>
  <si>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</si>
  <si>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</si>
  <si>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</si>
  <si>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</si>
  <si>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</si>
  <si>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</si>
  <si>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</si>
  <si>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</si>
  <si>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</si>
  <si>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</si>
  <si>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</si>
  <si>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</si>
  <si>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</si>
  <si>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</si>
  <si>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</si>
  <si>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</si>
  <si>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</si>
  <si>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</si>
  <si>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</si>
  <si>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</si>
  <si>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AND SALES</t>
  </si>
  <si>
    <t>OF LONG-T</t>
  </si>
  <si>
    <t>ERM DOMES</t>
  </si>
  <si>
    <t>TIC AND</t>
  </si>
  <si>
    <t>FOREIGN S</t>
  </si>
  <si>
    <t>ECURITIES</t>
  </si>
  <si>
    <t>BY TYPE</t>
  </si>
  <si>
    <t>Data</t>
  </si>
  <si>
    <t>column ti</t>
  </si>
  <si>
    <t>tles corre</t>
  </si>
  <si>
    <t>spond to c</t>
  </si>
  <si>
    <t>olumn tit</t>
  </si>
  <si>
    <t>les in T</t>
  </si>
  <si>
    <t>reasury B</t>
  </si>
  <si>
    <t>ulletin T</t>
  </si>
  <si>
    <t>able CM-V</t>
  </si>
  <si>
    <t>-4, exclu</t>
  </si>
  <si>
    <t>ding CM-V</t>
  </si>
  <si>
    <t>-4 column</t>
  </si>
  <si>
    <t>s (1) and</t>
  </si>
  <si>
    <t>(8).</t>
  </si>
  <si>
    <t>Refer</t>
  </si>
  <si>
    <t>to CNTRY</t>
  </si>
  <si>
    <t>CDS.TXT fi</t>
  </si>
  <si>
    <t>le for "Cn</t>
  </si>
  <si>
    <t>try Code"</t>
  </si>
  <si>
    <t>identif</t>
  </si>
  <si>
    <t>ication.</t>
  </si>
  <si>
    <t>All a</t>
  </si>
  <si>
    <t>mounts in</t>
  </si>
  <si>
    <t>millions</t>
  </si>
  <si>
    <t>of dollars</t>
  </si>
  <si>
    <t>.</t>
  </si>
  <si>
    <t>&lt;-------</t>
  </si>
  <si>
    <t>Purchases</t>
  </si>
  <si>
    <t>by Fore</t>
  </si>
  <si>
    <t>igners---</t>
  </si>
  <si>
    <t>--------&gt;</t>
  </si>
  <si>
    <t>ss Sales</t>
  </si>
  <si>
    <t>by Foreig</t>
  </si>
  <si>
    <t>ners-----</t>
  </si>
  <si>
    <t>rom U.S.</t>
  </si>
  <si>
    <t>Resident</t>
  </si>
  <si>
    <t>s--------</t>
  </si>
  <si>
    <t>---------</t>
  </si>
  <si>
    <t>Residents</t>
  </si>
  <si>
    <t>U.S.</t>
  </si>
  <si>
    <t>Gov't</t>
  </si>
  <si>
    <t>Cntry</t>
  </si>
  <si>
    <t>Bonds &amp;</t>
  </si>
  <si>
    <t>Corp.</t>
  </si>
  <si>
    <t>Code</t>
  </si>
  <si>
    <t>Year-Mo</t>
  </si>
  <si>
    <t>Notes</t>
  </si>
  <si>
    <t>Stocks</t>
  </si>
  <si>
    <t>12 m Net</t>
  </si>
  <si>
    <t xml:space="preserve">12M Net non </t>
  </si>
  <si>
    <t>-----</t>
  </si>
  <si>
    <t>--------</t>
  </si>
  <si>
    <t>For bonds</t>
  </si>
  <si>
    <t>US stks</t>
  </si>
  <si>
    <t>For Stks</t>
  </si>
  <si>
    <t>stk</t>
  </si>
  <si>
    <t>Net flows</t>
  </si>
  <si>
    <t>Treasury Flows</t>
  </si>
  <si>
    <t>1977-01</t>
  </si>
  <si>
    <t>1977-02</t>
  </si>
  <si>
    <t>1977-03</t>
  </si>
  <si>
    <t>1977-04</t>
  </si>
  <si>
    <t>1977-05</t>
  </si>
  <si>
    <t>1977-06</t>
  </si>
  <si>
    <t>1977-07</t>
  </si>
  <si>
    <t>1977-08</t>
  </si>
  <si>
    <t>1977-09</t>
  </si>
  <si>
    <t>1977-10</t>
  </si>
  <si>
    <t>1977-11</t>
  </si>
  <si>
    <t>1977-12</t>
  </si>
  <si>
    <t>Ln(TWI)</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</si>
  <si>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</si>
  <si>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</si>
  <si>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</si>
  <si>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</si>
  <si>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</si>
  <si>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</si>
  <si>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</si>
  <si>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</si>
  <si>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</si>
  <si>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</si>
  <si>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</si>
  <si>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</si>
  <si>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</si>
  <si>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</si>
  <si>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</si>
  <si>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</si>
  <si>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</si>
  <si>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</si>
  <si>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</si>
  <si>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</si>
  <si>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TB 12 M Sum</t>
  </si>
  <si>
    <t xml:space="preserve">Trade Balance </t>
  </si>
  <si>
    <t>Net non-treasury portfolio flows</t>
  </si>
  <si>
    <t xml:space="preserve">Basic Balance </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</si>
  <si>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</si>
  <si>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</si>
  <si>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</si>
  <si>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</si>
  <si>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</si>
  <si>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</si>
  <si>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</si>
  <si>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</si>
  <si>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</si>
  <si>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</si>
  <si>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</si>
  <si>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</si>
  <si>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</si>
  <si>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</si>
  <si>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</si>
  <si>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</si>
  <si>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</si>
  <si>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</si>
  <si>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</si>
  <si>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</si>
  <si>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</si>
  <si>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</si>
  <si>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</si>
  <si>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</si>
  <si>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</si>
  <si>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</si>
  <si>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</si>
  <si>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</si>
  <si>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</si>
  <si>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</si>
  <si>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</si>
  <si>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</si>
  <si>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</si>
  <si>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</si>
  <si>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2011-01</t>
  </si>
  <si>
    <t>2010-02</t>
  </si>
  <si>
    <t>2010-03</t>
  </si>
  <si>
    <t>2010-04</t>
  </si>
  <si>
    <t>2010-05</t>
  </si>
  <si>
    <t>2010-06</t>
  </si>
  <si>
    <t>2010-07</t>
  </si>
  <si>
    <t>2010-08</t>
  </si>
  <si>
    <t>2010-09</t>
  </si>
  <si>
    <t>2010-10</t>
  </si>
  <si>
    <t>2010-11</t>
  </si>
  <si>
    <t>2010-12</t>
  </si>
  <si>
    <t>2011-02</t>
  </si>
  <si>
    <t>2011-03</t>
  </si>
  <si>
    <t>2011-04</t>
  </si>
  <si>
    <t>2011-05</t>
  </si>
  <si>
    <t>2011-06</t>
  </si>
  <si>
    <t>2011-07</t>
  </si>
  <si>
    <t>2011-08</t>
  </si>
  <si>
    <t>2011-09</t>
  </si>
  <si>
    <t>Trade Balance</t>
  </si>
  <si>
    <t>Exports minus Imports</t>
  </si>
  <si>
    <t>Basic Balance</t>
  </si>
  <si>
    <t>Trade Balance plus Net Long-Term Capital Flows</t>
  </si>
  <si>
    <t>Equation for Assignment: ln(TWI(t)) = 0.000871*Basic Balance(t-T) + 4.54</t>
  </si>
  <si>
    <t>TWI is the Trade Weighted Dollar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</si>
</sst>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yy;@"/>
  </numFmts>
  <fonts count="3" x14ac:knownFonts="1">
    <font>
      <sz val="10"/>
      <name val="Arial"/>
    </font>
    <font>
      <b/>
      <sz val="10"/>
      <name val="Arial"/>
      <family val="2"/>
    </font>
    <font>
      <sz val="10"/>
      <name val="Arial"/>
      <family val="2"/>
    </font>
  </fonts>
  <fills count="5">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9"/>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0" fillId="0" borderId="0" xfId="0" applyFill="1"/>
    <xf numFmtId="0" fontId="0" fillId="2" borderId="0" xfId="0" applyFill="1"/>
    <xf numFmtId="164" fontId="0" fillId="0" borderId="0" xfId="0" applyNumberFormat="1"/>
    <xf numFmtId="2" fontId="0" fillId="0" borderId="0" xfId="0" applyNumberFormat="1"/>
    <xf numFmtId="164" fontId="0" fillId="0" borderId="0" xfId="0" applyNumberFormat="1" applyFill="1"/>
    <xf numFmtId="165" fontId="0" fillId="0" borderId="0" xfId="0" applyNumberFormat="1"/>
    <xf numFmtId="2" fontId="0" fillId="0" borderId="0" xfId="0" quotePrefix="1" applyNumberFormat="1"/>
    <xf numFmtId="2" fontId="1" fillId="0" borderId="0" xfId="0" applyNumberFormat="1" applyFont="1"/>
    <xf numFmtId="164" fontId="0" fillId="2" borderId="0" xfId="0" applyNumberFormat="1" applyFill="1"/>
    <xf numFmtId="17" fontId="0" fillId="2" borderId="0" xfId="0" applyNumberFormat="1" applyFill="1"/>
    <xf numFmtId="0" fontId="0" fillId="3" borderId="0" xfId="0" applyFill="1"/>
    <xf numFmtId="164" fontId="0" fillId="3" borderId="0" xfId="0" applyNumberFormat="1" applyFill="1"/>
    <xf numFmtId="1" fontId="0" fillId="0" borderId="0" xfId="0" applyNumberFormat="1"/>
    <xf numFmtId="3" fontId="0" fillId="0" borderId="0" xfId="0" applyNumberFormat="1"/>
    <xf numFmtId="14" fontId="0" fillId="0" borderId="0" xfId="0" applyNumberFormat="1"/>
    <xf numFmtId="10" fontId="0" fillId="0" borderId="0" xfId="1" applyNumberFormat="1" applyFont="1"/>
    <xf numFmtId="0" fontId="0" fillId="4" borderId="0" xfId="0" applyFill="1"/>
    <xf numFmtId="0" fontId="0" fillId="0" borderId="0" xfId="0" applyNumberFormat="1"/>
    <xf numFmtId="46" fontId="0" fillId="0" borderId="0" xfId="0" applyNumberFormat="1"/>
    <xf numFmtId="0" fontId="2" fillId="0" borderId="0" xfId="0" applyFont="1"/>
    <xf numFmtId="2" fontId="0" fillId="3" borderId="0" xfId="0" applyNumberForma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200025</xdr:colOff>
      <xdr:row>1</xdr:row>
      <xdr:rowOff>123825</xdr:rowOff>
    </xdr:from>
    <xdr:to>
      <xdr:col>13</xdr:col>
      <xdr:colOff>161925</xdr:colOff>
      <xdr:row>41</xdr:row>
      <xdr:rowOff>28575</xdr:rowOff>
    </xdr:to>
    <xdr:sp macro="" textlink="">
      <xdr:nvSpPr>
        <xdr:cNvPr id="2049" name="Text Box 1">
          <a:extLst>
            <a:ext uri="{FF2B5EF4-FFF2-40B4-BE49-F238E27FC236}">
              <a16:creationId xmlns:a16="http://schemas.microsoft.com/office/drawing/2014/main" id="{00000000-0008-0000-0200-000001080000}"/>
            </a:ext>
          </a:extLst>
        </xdr:cNvPr>
        <xdr:cNvSpPr txBox="1">
          <a:spLocks noChangeArrowheads="1"/>
        </xdr:cNvSpPr>
      </xdr:nvSpPr>
      <xdr:spPr bwMode="auto">
        <a:xfrm>
          <a:off x="809625" y="285750"/>
          <a:ext cx="7277100" cy="6381750"/>
        </a:xfrm>
        <a:prstGeom prst="rect">
          <a:avLst/>
        </a:prstGeom>
        <a:noFill/>
        <a:ln w="9525">
          <a:noFill/>
          <a:miter lim="800000"/>
          <a:headEnd/>
          <a:tailEnd/>
        </a:ln>
      </xdr:spPr>
      <xdr:txBody>
        <a:bodyPr vertOverflow="clip" wrap="square" lIns="27432" tIns="27432" rIns="0" bIns="0" anchor="t" upright="1"/>
        <a:lstStyle/>
        <a:p>
          <a:pPr algn="l" rtl="0">
            <a:defRPr sz="1000"/>
          </a:pPr>
          <a:r>
            <a:rPr lang="en-GB" sz="800" b="1" i="0" u="none" strike="noStrike" baseline="0">
              <a:solidFill>
                <a:srgbClr val="000000"/>
              </a:solidFill>
              <a:latin typeface="Univers 45 Light"/>
              <a:ea typeface="Univers 45 Light"/>
            </a:rPr>
            <a:t>Disclaimer</a:t>
          </a:r>
          <a:endParaRPr lang="en-GB" sz="800" b="0" i="0" u="none" strike="noStrike" baseline="0">
            <a:solidFill>
              <a:srgbClr val="000000"/>
            </a:solidFill>
            <a:latin typeface="Univers 45 Light"/>
            <a:ea typeface="Univers 45 Light"/>
          </a:endParaRPr>
        </a:p>
        <a:p>
          <a:pPr algn="l" rtl="0">
            <a:defRPr sz="1000"/>
          </a:pPr>
          <a:r>
            <a:rPr lang="en-GB" sz="800" b="0" i="0" u="none" strike="noStrike" baseline="0">
              <a:solidFill>
                <a:srgbClr val="000000"/>
              </a:solidFill>
              <a:latin typeface="Univers 45 Light"/>
              <a:ea typeface="Univers 45 Light"/>
            </a:rPr>
            <a:t>The information and opinions in this report were prepared by Deutsche Bank AG or one of its affiliates (collectively "Deutsche Bank").  The information herein is believed by Deutsche Bank to be reliable and has been obtained from public sources believed to be reliable.  With the exception of information about Deutsche Bank, Deutsche Bank makes no representation as to the accuracy or completeness of such information.</a:t>
          </a:r>
        </a:p>
        <a:p>
          <a:pPr algn="l" rtl="0">
            <a:defRPr sz="1000"/>
          </a:pPr>
          <a:endParaRPr lang="en-GB" sz="800" b="0" i="0" u="none" strike="noStrike" baseline="0">
            <a:solidFill>
              <a:srgbClr val="000000"/>
            </a:solidFill>
            <a:latin typeface="Univers 45 Light"/>
            <a:ea typeface="Univers 45 Light"/>
          </a:endParaRPr>
        </a:p>
        <a:p>
          <a:pPr algn="l" rtl="0">
            <a:defRPr sz="1000"/>
          </a:pPr>
          <a:r>
            <a:rPr lang="en-GB" sz="800" b="0" i="0" u="none" strike="noStrike" baseline="0">
              <a:solidFill>
                <a:srgbClr val="000000"/>
              </a:solidFill>
              <a:latin typeface="Univers 45 Light"/>
              <a:ea typeface="Univers 45 Light"/>
            </a:rPr>
            <a:t>This published research report may be considered by Deutsche Bank when Deutsche Bank is deciding to buy or sell proprietary positions in the securities mentioned in this report.</a:t>
          </a:r>
        </a:p>
        <a:p>
          <a:pPr algn="l" rtl="0">
            <a:defRPr sz="1000"/>
          </a:pPr>
          <a:endParaRPr lang="en-GB" sz="800" b="0" i="0" u="none" strike="noStrike" baseline="0">
            <a:solidFill>
              <a:srgbClr val="000000"/>
            </a:solidFill>
            <a:latin typeface="Univers 45 Light"/>
            <a:ea typeface="Univers 45 Light"/>
          </a:endParaRPr>
        </a:p>
        <a:p>
          <a:pPr algn="l" rtl="0">
            <a:defRPr sz="1000"/>
          </a:pPr>
          <a:r>
            <a:rPr lang="en-GB" sz="800" b="0" i="0" u="none" strike="noStrike" baseline="0">
              <a:solidFill>
                <a:srgbClr val="000000"/>
              </a:solidFill>
              <a:latin typeface="Univers 45 Light"/>
              <a:ea typeface="Univers 45 Light"/>
            </a:rPr>
            <a:t>For select companies, Deutsche Bank equity research analysts may identify shorter-term opportunities that are consistent or inconsistent with Deutsche Bank's existing, longer-term Buy or Sell recommendations.  This information is made available on the SOLAR stock list, which can be found at http://gm.db.com.</a:t>
          </a:r>
        </a:p>
        <a:p>
          <a:pPr algn="l" rtl="0">
            <a:defRPr sz="1000"/>
          </a:pPr>
          <a:r>
            <a:rPr lang="en-GB" sz="800" b="0" i="0" u="none" strike="noStrike" baseline="0">
              <a:solidFill>
                <a:srgbClr val="000000"/>
              </a:solidFill>
              <a:latin typeface="Univers 45 Light"/>
              <a:ea typeface="Univers 45 Light"/>
            </a:rPr>
            <a:t>Deutsche Bank may trade for its own account as a result of the short term trading suggestions of analysts and may also engage in securities transactions in a manner inconsistent with this research report and with respect to securities covered by this report, will sell to or buy from customers on a principal basis.  Disclosures of conflicts of interest, if any, are discussed at the end of the text of this report or on the Deutsche Bank website at http://gm.db.com.</a:t>
          </a:r>
        </a:p>
        <a:p>
          <a:pPr algn="l" rtl="0">
            <a:defRPr sz="1000"/>
          </a:pPr>
          <a:endParaRPr lang="en-GB" sz="800" b="0" i="0" u="none" strike="noStrike" baseline="0">
            <a:solidFill>
              <a:srgbClr val="000000"/>
            </a:solidFill>
            <a:latin typeface="Univers 45 Light"/>
            <a:ea typeface="Univers 45 Light"/>
          </a:endParaRPr>
        </a:p>
        <a:p>
          <a:pPr algn="l" rtl="0">
            <a:defRPr sz="1000"/>
          </a:pPr>
          <a:r>
            <a:rPr lang="en-GB" sz="800" b="0" i="0" u="none" strike="noStrike" baseline="0">
              <a:solidFill>
                <a:srgbClr val="000000"/>
              </a:solidFill>
              <a:latin typeface="Univers 45 Light"/>
              <a:ea typeface="Univers 45 Light"/>
            </a:rPr>
            <a:t>Opinions, estimates and projections in this report constitute the current judgement of the author as of the date of this report.  They do not necessarily reflect the opinions of Deutsche Bank and are subject to change without notice.  Deutsche Bank has no obligation to update, modify or amend this report or to otherwise notify a reader thereof in the event that any matter stated herein, or any opinion, projection, forecast or estimate set forth herein, changes or subsequently becomes inaccurate, except if research on the subject company is withdrawn.  Prices and availability of financial instruments also are subject to change without notice.  This report is provided for informational purposes only.  It is not to be construed as an offer to buy or sell or a solicitation of an offer to buy or sell any financial instruments or to participate in any particular trading strategy in any jurisdiction.  The financial instruments discussed in this report may not be suitable for all investors and investors must make their own investment decisions using their own independent advisors as they believe necessary and based upon their specific financial situations and investment objectives.  If a financial instrument is denominated in a currency other than an investor.s currency, a change in exchange rates may adversely affect the price or value of, or the income derived from, the financial instrument, and such investor effectively assumes currency risk.  In addition, income from an investment may fluctuate and the price or value of financial instruments described in this report, either directly or indirectly, may rise or fall.  Furthermore, past performance is not necessarily indicative of future results.</a:t>
          </a:r>
        </a:p>
        <a:p>
          <a:pPr algn="l" rtl="0">
            <a:defRPr sz="1000"/>
          </a:pPr>
          <a:endParaRPr lang="en-GB" sz="800" b="0" i="0" u="none" strike="noStrike" baseline="0">
            <a:solidFill>
              <a:srgbClr val="000000"/>
            </a:solidFill>
            <a:latin typeface="Univers 45 Light"/>
            <a:ea typeface="Univers 45 Light"/>
          </a:endParaRPr>
        </a:p>
        <a:p>
          <a:pPr algn="l" rtl="0">
            <a:defRPr sz="1000"/>
          </a:pPr>
          <a:r>
            <a:rPr lang="en-GB" sz="800" b="0" i="0" u="none" strike="noStrike" baseline="0">
              <a:solidFill>
                <a:srgbClr val="000000"/>
              </a:solidFill>
              <a:latin typeface="Univers 45 Light"/>
              <a:ea typeface="Univers 45 Light"/>
            </a:rPr>
            <a:t>Unless governing law provides otherwise, all transactions should be executed through the Deutsche Bank entity in the investor.s home jurisdiction.  In the U.S. this report is approved and/or distributed by Deutsche Bank Securities Inc., a member of the NYSE, the NASD, NFA and SIPC. In Germany this report is approved and/or communicated by Deutsche Bank AG Frankfurt authorised by Bundesanstalt für Finanzdienstleistungsaufsicht. In the United Kingdom this report is approved and/or communicated by Deutsche Bank AG London, a member of the London Stock Exchange and regulated by the Financial Services Authority for the conduct of investment business in the UK and authorised by Bundesanstalt für Finanzdienstleistungsaufsicht (BaFin). This report is distributed in Hong Kong by Deutsche Bank AG, Hong Kong Branch, in Korea by Deutsche Securities Korea Co. and in Singapore by Deutsche Bank AG, Singapore Branch.  In Japan this report is approved and/or distributed by Deutsche Securities Inc. The information contained in this report does not constitute the provision of investment advice. In Australia, retail clients should obtain a copy of a Product Disclosure Statement (PDS) relating to any financial product referred to in this report and consider the PDS before making any decision about whether to acquire the product.  Additional information relative to securities, other financial products or issuers discussed in this report is available upon request.  This report may not be reproduced, distributed or published by any person for any purpose without Deutsche Bank's prior written consent.  Please cite source when quoting.</a:t>
          </a:r>
        </a:p>
        <a:p>
          <a:pPr algn="l" rtl="0">
            <a:defRPr sz="1000"/>
          </a:pPr>
          <a:endParaRPr lang="en-GB" sz="800" b="0" i="0" u="none" strike="noStrike" baseline="0">
            <a:solidFill>
              <a:srgbClr val="000000"/>
            </a:solidFill>
            <a:latin typeface="Univers 45 Light"/>
            <a:ea typeface="Univers 45 Light"/>
          </a:endParaRPr>
        </a:p>
        <a:p>
          <a:pPr algn="l" rtl="0">
            <a:defRPr sz="1000"/>
          </a:pPr>
          <a:r>
            <a:rPr lang="en-GB" sz="800" b="0" i="0" u="none" strike="noStrike" baseline="0">
              <a:solidFill>
                <a:srgbClr val="000000"/>
              </a:solidFill>
              <a:latin typeface="Univers 45 Light"/>
              <a:ea typeface="Univers 45 Light"/>
            </a:rPr>
            <a:t>Copyright © 2008 Deutsche Bank AG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5258E-E10F-486C-9D5D-5D870720A3A0}">
  <dimension ref="A1:B4"/>
  <sheetViews>
    <sheetView tabSelected="1" workbookViewId="0">
      <selection activeCell="A5" sqref="A5"/>
    </sheetView>
  </sheetViews>
  <sheetFormatPr defaultRowHeight="12.5" x14ac:dyDescent="0.25"/>
  <cols>
    <col min="1" max="1" width="14.1796875" customWidth="1"/>
  </cols>
  <sheetData>
    <row r="1" spans="1:2" x14ac:dyDescent="0.25">
      <c r="A1" t="s">
        <v>499</v>
      </c>
      <c r="B1" t="s">
        <v>500</v>
      </c>
    </row>
    <row r="2" spans="1:2" x14ac:dyDescent="0.25">
      <c r="A2" t="s">
        <v>501</v>
      </c>
      <c r="B2" t="s">
        <v>502</v>
      </c>
    </row>
    <row r="3" spans="1:2" x14ac:dyDescent="0.25">
      <c r="A3" t="s">
        <v>503</v>
      </c>
    </row>
    <row r="4" spans="1:2" x14ac:dyDescent="0.25">
      <c r="A4" t="s">
        <v>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33"/>
  <sheetViews>
    <sheetView workbookViewId="0">
      <pane xSplit="2" ySplit="12" topLeftCell="AA417" activePane="bottomRight" state="frozen"/>
      <selection pane="topRight" activeCell="C1" sqref="C1"/>
      <selection pane="bottomLeft" activeCell="A13" sqref="A13"/>
      <selection pane="bottomRight" activeCell="AM429" sqref="AM429"/>
    </sheetView>
  </sheetViews>
  <sheetFormatPr defaultRowHeight="12.5" x14ac:dyDescent="0.25"/>
  <cols>
    <col min="2" max="2" width="11.1796875" customWidth="1"/>
    <col min="3" max="3" width="14.7265625" customWidth="1"/>
    <col min="4" max="4" width="13.54296875" customWidth="1"/>
    <col min="5" max="5" width="10.453125" customWidth="1"/>
    <col min="6" max="6" width="9.54296875" bestFit="1" customWidth="1"/>
    <col min="7" max="8" width="10.54296875" bestFit="1" customWidth="1"/>
    <col min="29" max="38" width="9.1796875" style="2"/>
    <col min="39" max="39" width="10.453125" style="11" customWidth="1"/>
  </cols>
  <sheetData>
    <row r="1" spans="1:39" x14ac:dyDescent="0.25">
      <c r="A1" t="s">
        <v>1</v>
      </c>
      <c r="B1" t="s">
        <v>5</v>
      </c>
      <c r="C1" t="s">
        <v>343</v>
      </c>
      <c r="D1" t="s">
        <v>344</v>
      </c>
      <c r="E1" t="s">
        <v>345</v>
      </c>
      <c r="F1" t="s">
        <v>346</v>
      </c>
      <c r="G1" t="s">
        <v>347</v>
      </c>
      <c r="H1" t="s">
        <v>348</v>
      </c>
      <c r="J1" t="s">
        <v>349</v>
      </c>
    </row>
    <row r="2" spans="1:39" x14ac:dyDescent="0.25">
      <c r="A2" t="s">
        <v>350</v>
      </c>
      <c r="B2" t="s">
        <v>351</v>
      </c>
      <c r="C2" t="s">
        <v>352</v>
      </c>
      <c r="D2" t="s">
        <v>353</v>
      </c>
      <c r="E2" t="s">
        <v>354</v>
      </c>
      <c r="F2" t="s">
        <v>355</v>
      </c>
      <c r="G2" t="s">
        <v>356</v>
      </c>
      <c r="H2" t="s">
        <v>357</v>
      </c>
      <c r="J2" t="s">
        <v>358</v>
      </c>
      <c r="K2" t="s">
        <v>359</v>
      </c>
      <c r="L2" t="s">
        <v>360</v>
      </c>
      <c r="M2" t="s">
        <v>361</v>
      </c>
      <c r="N2" t="s">
        <v>362</v>
      </c>
      <c r="O2" t="s">
        <v>363</v>
      </c>
    </row>
    <row r="3" spans="1:39" x14ac:dyDescent="0.25">
      <c r="A3" t="s">
        <v>364</v>
      </c>
      <c r="B3" t="s">
        <v>365</v>
      </c>
      <c r="C3" t="s">
        <v>366</v>
      </c>
      <c r="D3" t="s">
        <v>367</v>
      </c>
      <c r="E3" t="s">
        <v>368</v>
      </c>
      <c r="F3" t="s">
        <v>369</v>
      </c>
      <c r="G3" t="s">
        <v>370</v>
      </c>
    </row>
    <row r="4" spans="1:39" x14ac:dyDescent="0.25">
      <c r="A4" t="s">
        <v>371</v>
      </c>
      <c r="B4" t="s">
        <v>372</v>
      </c>
      <c r="C4" t="s">
        <v>373</v>
      </c>
      <c r="D4" t="s">
        <v>374</v>
      </c>
      <c r="E4" t="s">
        <v>375</v>
      </c>
    </row>
    <row r="6" spans="1:39" x14ac:dyDescent="0.25">
      <c r="C6" t="s">
        <v>376</v>
      </c>
      <c r="D6" t="e">
        <f>----Gross</f>
        <v>#NAME?</v>
      </c>
      <c r="E6" t="s">
        <v>377</v>
      </c>
      <c r="F6" t="s">
        <v>378</v>
      </c>
      <c r="G6" t="s">
        <v>379</v>
      </c>
      <c r="H6" t="s">
        <v>380</v>
      </c>
      <c r="J6" t="s">
        <v>376</v>
      </c>
      <c r="K6" t="e">
        <f>------Gro</f>
        <v>#NAME?</v>
      </c>
      <c r="L6" t="s">
        <v>381</v>
      </c>
      <c r="M6" t="s">
        <v>382</v>
      </c>
      <c r="N6" t="s">
        <v>383</v>
      </c>
      <c r="O6" t="s">
        <v>380</v>
      </c>
    </row>
    <row r="7" spans="1:39" x14ac:dyDescent="0.25">
      <c r="C7" t="s">
        <v>376</v>
      </c>
      <c r="D7" t="e">
        <f>---------f</f>
        <v>#NAME?</v>
      </c>
      <c r="E7" t="s">
        <v>384</v>
      </c>
      <c r="F7" t="s">
        <v>385</v>
      </c>
      <c r="G7" t="s">
        <v>386</v>
      </c>
      <c r="H7" t="s">
        <v>380</v>
      </c>
      <c r="J7" t="s">
        <v>376</v>
      </c>
      <c r="K7" t="s">
        <v>387</v>
      </c>
      <c r="L7" t="e">
        <f>-to U.S.</f>
        <v>#NAME?</v>
      </c>
      <c r="M7" t="s">
        <v>388</v>
      </c>
      <c r="N7" t="s">
        <v>387</v>
      </c>
      <c r="O7" t="s">
        <v>380</v>
      </c>
    </row>
    <row r="8" spans="1:39" x14ac:dyDescent="0.25">
      <c r="C8" t="s">
        <v>389</v>
      </c>
      <c r="D8" t="s">
        <v>389</v>
      </c>
      <c r="J8" t="s">
        <v>389</v>
      </c>
      <c r="K8" t="s">
        <v>389</v>
      </c>
    </row>
    <row r="9" spans="1:39" x14ac:dyDescent="0.25">
      <c r="C9" t="s">
        <v>16</v>
      </c>
      <c r="D9" t="s">
        <v>390</v>
      </c>
      <c r="E9" t="s">
        <v>389</v>
      </c>
      <c r="F9" t="s">
        <v>389</v>
      </c>
      <c r="J9" t="s">
        <v>16</v>
      </c>
      <c r="K9" t="s">
        <v>390</v>
      </c>
      <c r="L9" t="s">
        <v>389</v>
      </c>
      <c r="M9" t="s">
        <v>389</v>
      </c>
    </row>
    <row r="10" spans="1:39" x14ac:dyDescent="0.25">
      <c r="A10" t="s">
        <v>391</v>
      </c>
      <c r="C10" t="s">
        <v>392</v>
      </c>
      <c r="D10" t="s">
        <v>18</v>
      </c>
      <c r="E10" t="s">
        <v>393</v>
      </c>
      <c r="F10" t="s">
        <v>393</v>
      </c>
      <c r="G10" t="s">
        <v>2</v>
      </c>
      <c r="H10" t="s">
        <v>2</v>
      </c>
      <c r="J10" t="s">
        <v>392</v>
      </c>
      <c r="K10" t="s">
        <v>18</v>
      </c>
      <c r="L10" t="s">
        <v>393</v>
      </c>
      <c r="M10" t="s">
        <v>393</v>
      </c>
      <c r="N10" t="s">
        <v>2</v>
      </c>
      <c r="O10" t="s">
        <v>2</v>
      </c>
    </row>
    <row r="11" spans="1:39" x14ac:dyDescent="0.25">
      <c r="A11" t="s">
        <v>394</v>
      </c>
      <c r="B11" t="s">
        <v>395</v>
      </c>
      <c r="C11" t="s">
        <v>396</v>
      </c>
      <c r="D11" t="s">
        <v>3</v>
      </c>
      <c r="E11" t="s">
        <v>3</v>
      </c>
      <c r="F11" t="s">
        <v>397</v>
      </c>
      <c r="G11" t="s">
        <v>3</v>
      </c>
      <c r="H11" t="s">
        <v>397</v>
      </c>
      <c r="J11" t="s">
        <v>396</v>
      </c>
      <c r="K11" t="s">
        <v>3</v>
      </c>
      <c r="L11" t="s">
        <v>3</v>
      </c>
      <c r="M11" t="s">
        <v>397</v>
      </c>
      <c r="N11" t="s">
        <v>3</v>
      </c>
      <c r="O11" t="s">
        <v>397</v>
      </c>
      <c r="Q11" t="s">
        <v>0</v>
      </c>
      <c r="R11" t="s">
        <v>0</v>
      </c>
      <c r="S11" t="s">
        <v>0</v>
      </c>
      <c r="T11" t="s">
        <v>0</v>
      </c>
      <c r="V11" t="s">
        <v>0</v>
      </c>
      <c r="W11" t="s">
        <v>0</v>
      </c>
      <c r="Y11" t="s">
        <v>0</v>
      </c>
      <c r="Z11" t="s">
        <v>0</v>
      </c>
      <c r="AA11" t="s">
        <v>0</v>
      </c>
      <c r="AD11" s="2" t="s">
        <v>398</v>
      </c>
      <c r="AE11" s="2" t="s">
        <v>398</v>
      </c>
      <c r="AF11" s="2" t="s">
        <v>398</v>
      </c>
      <c r="AI11" s="2" t="s">
        <v>398</v>
      </c>
      <c r="AJ11" s="2" t="s">
        <v>398</v>
      </c>
      <c r="AK11" s="2" t="s">
        <v>398</v>
      </c>
      <c r="AL11" s="2" t="s">
        <v>398</v>
      </c>
      <c r="AM11" s="11" t="s">
        <v>399</v>
      </c>
    </row>
    <row r="12" spans="1:39" x14ac:dyDescent="0.25">
      <c r="A12" t="s">
        <v>400</v>
      </c>
      <c r="B12" t="s">
        <v>6</v>
      </c>
      <c r="C12" t="s">
        <v>401</v>
      </c>
      <c r="D12" t="s">
        <v>401</v>
      </c>
      <c r="E12" t="s">
        <v>401</v>
      </c>
      <c r="F12" t="s">
        <v>401</v>
      </c>
      <c r="G12" t="s">
        <v>401</v>
      </c>
      <c r="H12" t="s">
        <v>401</v>
      </c>
      <c r="J12" t="s">
        <v>401</v>
      </c>
      <c r="K12" t="s">
        <v>401</v>
      </c>
      <c r="L12" t="s">
        <v>401</v>
      </c>
      <c r="M12" t="s">
        <v>401</v>
      </c>
      <c r="N12" t="s">
        <v>401</v>
      </c>
      <c r="O12" t="s">
        <v>401</v>
      </c>
      <c r="Q12" t="s">
        <v>16</v>
      </c>
      <c r="R12" t="s">
        <v>18</v>
      </c>
      <c r="S12" t="s">
        <v>19</v>
      </c>
      <c r="T12" t="s">
        <v>402</v>
      </c>
      <c r="V12" t="s">
        <v>403</v>
      </c>
      <c r="W12" t="s">
        <v>404</v>
      </c>
      <c r="Y12" t="s">
        <v>4</v>
      </c>
      <c r="Z12" t="s">
        <v>405</v>
      </c>
      <c r="AA12" t="s">
        <v>406</v>
      </c>
      <c r="AD12" s="2" t="s">
        <v>4</v>
      </c>
      <c r="AE12" s="2" t="s">
        <v>405</v>
      </c>
      <c r="AF12" s="2" t="s">
        <v>406</v>
      </c>
      <c r="AI12" s="2" t="s">
        <v>16</v>
      </c>
      <c r="AJ12" s="2" t="s">
        <v>18</v>
      </c>
      <c r="AK12" s="2" t="s">
        <v>19</v>
      </c>
      <c r="AL12" s="2" t="s">
        <v>402</v>
      </c>
      <c r="AM12" s="11" t="s">
        <v>407</v>
      </c>
    </row>
    <row r="13" spans="1:39" x14ac:dyDescent="0.25">
      <c r="A13">
        <v>99996</v>
      </c>
      <c r="B13" t="s">
        <v>408</v>
      </c>
      <c r="C13" s="13">
        <v>1632</v>
      </c>
      <c r="D13" s="13">
        <v>132</v>
      </c>
      <c r="E13" s="13">
        <v>258</v>
      </c>
      <c r="F13" s="13">
        <v>1430</v>
      </c>
      <c r="G13" s="13">
        <v>776</v>
      </c>
      <c r="H13" s="13">
        <v>179</v>
      </c>
      <c r="J13" s="13">
        <v>1122</v>
      </c>
      <c r="K13" s="13">
        <v>44</v>
      </c>
      <c r="L13" s="13">
        <v>263</v>
      </c>
      <c r="M13" s="13">
        <v>1131</v>
      </c>
      <c r="N13" s="13">
        <v>858</v>
      </c>
      <c r="O13" s="13">
        <v>198</v>
      </c>
      <c r="Q13" s="3">
        <f t="shared" ref="Q13:Q76" si="0">(C13-J13)/1000</f>
        <v>0.51</v>
      </c>
      <c r="R13" s="3">
        <f t="shared" ref="R13:R76" si="1">(D13-K13)/1000</f>
        <v>8.7999999999999995E-2</v>
      </c>
      <c r="S13" s="3">
        <f t="shared" ref="S13:S76" si="2">(E13-L13)/1000</f>
        <v>-5.0000000000000001E-3</v>
      </c>
      <c r="T13" s="3">
        <f t="shared" ref="T13:T76" si="3">(G13-N13)/1000</f>
        <v>-8.2000000000000003E-2</v>
      </c>
      <c r="U13" s="3"/>
      <c r="V13" s="3">
        <f t="shared" ref="V13:V76" si="4">(F13-M13)/1000</f>
        <v>0.29899999999999999</v>
      </c>
      <c r="W13" s="3">
        <f t="shared" ref="W13:W76" si="5">(H13-O13)/1000</f>
        <v>-1.9E-2</v>
      </c>
      <c r="Y13" s="3">
        <f t="shared" ref="Y13:Y76" si="6">SUM(Q13:T13)</f>
        <v>0.51100000000000001</v>
      </c>
      <c r="Z13" s="3">
        <f t="shared" ref="Z13:Z76" si="7">V13+W13</f>
        <v>0.27999999999999997</v>
      </c>
      <c r="AA13" s="3">
        <f t="shared" ref="AA13:AA76" si="8">SUM(Q13:W13)</f>
        <v>0.79100000000000004</v>
      </c>
      <c r="AB13" s="3"/>
    </row>
    <row r="14" spans="1:39" x14ac:dyDescent="0.25">
      <c r="A14">
        <v>99996</v>
      </c>
      <c r="B14" t="s">
        <v>409</v>
      </c>
      <c r="C14" s="13">
        <v>2673</v>
      </c>
      <c r="D14" s="13">
        <v>69</v>
      </c>
      <c r="E14" s="13">
        <v>476</v>
      </c>
      <c r="F14" s="13">
        <v>1167</v>
      </c>
      <c r="G14" s="13">
        <v>555</v>
      </c>
      <c r="H14" s="13">
        <v>129</v>
      </c>
      <c r="J14" s="13">
        <v>1377</v>
      </c>
      <c r="K14" s="13">
        <v>64</v>
      </c>
      <c r="L14" s="13">
        <v>164</v>
      </c>
      <c r="M14" s="13">
        <v>1032</v>
      </c>
      <c r="N14" s="13">
        <v>941</v>
      </c>
      <c r="O14" s="13">
        <v>237</v>
      </c>
      <c r="Q14" s="3">
        <f t="shared" si="0"/>
        <v>1.296</v>
      </c>
      <c r="R14" s="3">
        <f t="shared" si="1"/>
        <v>5.0000000000000001E-3</v>
      </c>
      <c r="S14" s="3">
        <f t="shared" si="2"/>
        <v>0.312</v>
      </c>
      <c r="T14" s="3">
        <f t="shared" si="3"/>
        <v>-0.38600000000000001</v>
      </c>
      <c r="U14" s="3"/>
      <c r="V14" s="3">
        <f t="shared" si="4"/>
        <v>0.13500000000000001</v>
      </c>
      <c r="W14" s="3">
        <f t="shared" si="5"/>
        <v>-0.108</v>
      </c>
      <c r="Y14" s="3">
        <f t="shared" si="6"/>
        <v>1.2269999999999999</v>
      </c>
      <c r="Z14" s="3">
        <f t="shared" si="7"/>
        <v>2.700000000000001E-2</v>
      </c>
      <c r="AA14" s="3">
        <f t="shared" si="8"/>
        <v>1.2539999999999998</v>
      </c>
      <c r="AB14" s="3"/>
    </row>
    <row r="15" spans="1:39" x14ac:dyDescent="0.25">
      <c r="A15">
        <v>99996</v>
      </c>
      <c r="B15" t="s">
        <v>410</v>
      </c>
      <c r="C15" s="13">
        <v>3064</v>
      </c>
      <c r="D15" s="13">
        <v>156</v>
      </c>
      <c r="E15" s="13">
        <v>190</v>
      </c>
      <c r="F15" s="13">
        <v>1105</v>
      </c>
      <c r="G15" s="13">
        <v>573</v>
      </c>
      <c r="H15" s="13">
        <v>182</v>
      </c>
      <c r="J15" s="13">
        <v>1559</v>
      </c>
      <c r="K15" s="13">
        <v>80</v>
      </c>
      <c r="L15" s="13">
        <v>144</v>
      </c>
      <c r="M15" s="13">
        <v>976</v>
      </c>
      <c r="N15" s="13">
        <v>660</v>
      </c>
      <c r="O15" s="13">
        <v>249</v>
      </c>
      <c r="Q15" s="3">
        <f t="shared" si="0"/>
        <v>1.5049999999999999</v>
      </c>
      <c r="R15" s="3">
        <f t="shared" si="1"/>
        <v>7.5999999999999998E-2</v>
      </c>
      <c r="S15" s="3">
        <f t="shared" si="2"/>
        <v>4.5999999999999999E-2</v>
      </c>
      <c r="T15" s="3">
        <f t="shared" si="3"/>
        <v>-8.6999999999999994E-2</v>
      </c>
      <c r="U15" s="3"/>
      <c r="V15" s="3">
        <f t="shared" si="4"/>
        <v>0.129</v>
      </c>
      <c r="W15" s="3">
        <f t="shared" si="5"/>
        <v>-6.7000000000000004E-2</v>
      </c>
      <c r="Y15" s="3">
        <f t="shared" si="6"/>
        <v>1.54</v>
      </c>
      <c r="Z15" s="3">
        <f t="shared" si="7"/>
        <v>6.2E-2</v>
      </c>
      <c r="AA15" s="3">
        <f t="shared" si="8"/>
        <v>1.6020000000000001</v>
      </c>
      <c r="AB15" s="3"/>
    </row>
    <row r="16" spans="1:39" x14ac:dyDescent="0.25">
      <c r="A16">
        <v>99996</v>
      </c>
      <c r="B16" t="s">
        <v>411</v>
      </c>
      <c r="C16" s="13">
        <v>2739</v>
      </c>
      <c r="D16" s="13">
        <v>427</v>
      </c>
      <c r="E16" s="13">
        <v>451</v>
      </c>
      <c r="F16" s="13">
        <v>1142</v>
      </c>
      <c r="G16" s="13">
        <v>510</v>
      </c>
      <c r="H16" s="13">
        <v>153</v>
      </c>
      <c r="J16" s="13">
        <v>1794</v>
      </c>
      <c r="K16" s="13">
        <v>107</v>
      </c>
      <c r="L16" s="13">
        <v>137</v>
      </c>
      <c r="M16" s="13">
        <v>906</v>
      </c>
      <c r="N16" s="13">
        <v>578</v>
      </c>
      <c r="O16" s="13">
        <v>197</v>
      </c>
      <c r="Q16" s="3">
        <f t="shared" si="0"/>
        <v>0.94499999999999995</v>
      </c>
      <c r="R16" s="3">
        <f t="shared" si="1"/>
        <v>0.32</v>
      </c>
      <c r="S16" s="3">
        <f t="shared" si="2"/>
        <v>0.314</v>
      </c>
      <c r="T16" s="3">
        <f t="shared" si="3"/>
        <v>-6.8000000000000005E-2</v>
      </c>
      <c r="U16" s="3"/>
      <c r="V16" s="3">
        <f t="shared" si="4"/>
        <v>0.23599999999999999</v>
      </c>
      <c r="W16" s="3">
        <f t="shared" si="5"/>
        <v>-4.3999999999999997E-2</v>
      </c>
      <c r="Y16" s="3">
        <f t="shared" si="6"/>
        <v>1.5109999999999999</v>
      </c>
      <c r="Z16" s="3">
        <f t="shared" si="7"/>
        <v>0.192</v>
      </c>
      <c r="AA16" s="3">
        <f t="shared" si="8"/>
        <v>1.7029999999999998</v>
      </c>
      <c r="AB16" s="3"/>
    </row>
    <row r="17" spans="1:39" x14ac:dyDescent="0.25">
      <c r="A17">
        <v>99996</v>
      </c>
      <c r="B17" t="s">
        <v>412</v>
      </c>
      <c r="C17" s="13">
        <v>1986</v>
      </c>
      <c r="D17" s="13">
        <v>281</v>
      </c>
      <c r="E17" s="13">
        <v>332</v>
      </c>
      <c r="F17" s="13">
        <v>1210</v>
      </c>
      <c r="G17" s="13">
        <v>561</v>
      </c>
      <c r="H17" s="13">
        <v>198</v>
      </c>
      <c r="J17" s="13">
        <v>1098</v>
      </c>
      <c r="K17" s="13">
        <v>162</v>
      </c>
      <c r="L17" s="13">
        <v>140</v>
      </c>
      <c r="M17" s="13">
        <v>978</v>
      </c>
      <c r="N17" s="13">
        <v>1426</v>
      </c>
      <c r="O17" s="13">
        <v>211</v>
      </c>
      <c r="Q17" s="3">
        <f t="shared" si="0"/>
        <v>0.88800000000000001</v>
      </c>
      <c r="R17" s="3">
        <f t="shared" si="1"/>
        <v>0.11899999999999999</v>
      </c>
      <c r="S17" s="3">
        <f t="shared" si="2"/>
        <v>0.192</v>
      </c>
      <c r="T17" s="3">
        <f t="shared" si="3"/>
        <v>-0.86499999999999999</v>
      </c>
      <c r="U17" s="3"/>
      <c r="V17" s="3">
        <f t="shared" si="4"/>
        <v>0.23200000000000001</v>
      </c>
      <c r="W17" s="3">
        <f t="shared" si="5"/>
        <v>-1.2999999999999999E-2</v>
      </c>
      <c r="Y17" s="3">
        <f t="shared" si="6"/>
        <v>0.33400000000000007</v>
      </c>
      <c r="Z17" s="3">
        <f t="shared" si="7"/>
        <v>0.219</v>
      </c>
      <c r="AA17" s="3">
        <f t="shared" si="8"/>
        <v>0.55300000000000005</v>
      </c>
      <c r="AB17" s="3"/>
    </row>
    <row r="18" spans="1:39" x14ac:dyDescent="0.25">
      <c r="A18">
        <v>99996</v>
      </c>
      <c r="B18" t="s">
        <v>413</v>
      </c>
      <c r="C18" s="13">
        <v>3253</v>
      </c>
      <c r="D18" s="13">
        <v>709</v>
      </c>
      <c r="E18" s="13">
        <v>324</v>
      </c>
      <c r="F18" s="13">
        <v>1202</v>
      </c>
      <c r="G18" s="13">
        <v>594</v>
      </c>
      <c r="H18" s="13">
        <v>167</v>
      </c>
      <c r="J18" s="13">
        <v>927</v>
      </c>
      <c r="K18" s="13">
        <v>244</v>
      </c>
      <c r="L18" s="13">
        <v>191</v>
      </c>
      <c r="M18" s="13">
        <v>950</v>
      </c>
      <c r="N18" s="13">
        <v>1372</v>
      </c>
      <c r="O18" s="13">
        <v>228</v>
      </c>
      <c r="Q18" s="3">
        <f t="shared" si="0"/>
        <v>2.3260000000000001</v>
      </c>
      <c r="R18" s="3">
        <f t="shared" si="1"/>
        <v>0.46500000000000002</v>
      </c>
      <c r="S18" s="3">
        <f t="shared" si="2"/>
        <v>0.13300000000000001</v>
      </c>
      <c r="T18" s="3">
        <f t="shared" si="3"/>
        <v>-0.77800000000000002</v>
      </c>
      <c r="U18" s="3"/>
      <c r="V18" s="3">
        <f t="shared" si="4"/>
        <v>0.252</v>
      </c>
      <c r="W18" s="3">
        <f t="shared" si="5"/>
        <v>-6.0999999999999999E-2</v>
      </c>
      <c r="Y18" s="3">
        <f t="shared" si="6"/>
        <v>2.1459999999999999</v>
      </c>
      <c r="Z18" s="3">
        <f t="shared" si="7"/>
        <v>0.191</v>
      </c>
      <c r="AA18" s="3">
        <f t="shared" si="8"/>
        <v>2.3369999999999997</v>
      </c>
      <c r="AB18" s="3"/>
    </row>
    <row r="19" spans="1:39" x14ac:dyDescent="0.25">
      <c r="A19">
        <v>99996</v>
      </c>
      <c r="B19" t="s">
        <v>414</v>
      </c>
      <c r="C19" s="13">
        <v>1643</v>
      </c>
      <c r="D19" s="13">
        <v>439</v>
      </c>
      <c r="E19" s="13">
        <v>465</v>
      </c>
      <c r="F19" s="13">
        <v>1373</v>
      </c>
      <c r="G19" s="13">
        <v>729</v>
      </c>
      <c r="H19" s="13">
        <v>157</v>
      </c>
      <c r="J19" s="13">
        <v>436</v>
      </c>
      <c r="K19" s="13">
        <v>134</v>
      </c>
      <c r="L19" s="13">
        <v>150</v>
      </c>
      <c r="M19" s="13">
        <v>1163</v>
      </c>
      <c r="N19" s="13">
        <v>933</v>
      </c>
      <c r="O19" s="13">
        <v>422</v>
      </c>
      <c r="Q19" s="3">
        <f t="shared" si="0"/>
        <v>1.2070000000000001</v>
      </c>
      <c r="R19" s="3">
        <f t="shared" si="1"/>
        <v>0.30499999999999999</v>
      </c>
      <c r="S19" s="3">
        <f t="shared" si="2"/>
        <v>0.315</v>
      </c>
      <c r="T19" s="3">
        <f t="shared" si="3"/>
        <v>-0.20399999999999999</v>
      </c>
      <c r="U19" s="3"/>
      <c r="V19" s="3">
        <f t="shared" si="4"/>
        <v>0.21</v>
      </c>
      <c r="W19" s="3">
        <f t="shared" si="5"/>
        <v>-0.26500000000000001</v>
      </c>
      <c r="Y19" s="3">
        <f t="shared" si="6"/>
        <v>1.623</v>
      </c>
      <c r="Z19" s="3">
        <f t="shared" si="7"/>
        <v>-5.5000000000000021E-2</v>
      </c>
      <c r="AA19" s="3">
        <f t="shared" si="8"/>
        <v>1.5680000000000001</v>
      </c>
      <c r="AB19" s="3"/>
    </row>
    <row r="20" spans="1:39" x14ac:dyDescent="0.25">
      <c r="A20">
        <v>99996</v>
      </c>
      <c r="B20" t="s">
        <v>415</v>
      </c>
      <c r="C20" s="13">
        <v>4988</v>
      </c>
      <c r="D20" s="13">
        <v>388</v>
      </c>
      <c r="E20" s="13">
        <v>315</v>
      </c>
      <c r="F20" s="13">
        <v>1023</v>
      </c>
      <c r="G20" s="13">
        <v>799</v>
      </c>
      <c r="H20" s="13">
        <v>169</v>
      </c>
      <c r="J20" s="13">
        <v>992</v>
      </c>
      <c r="K20" s="13">
        <v>51</v>
      </c>
      <c r="L20" s="13">
        <v>235</v>
      </c>
      <c r="M20" s="13">
        <v>900</v>
      </c>
      <c r="N20" s="13">
        <v>1821</v>
      </c>
      <c r="O20" s="13">
        <v>232</v>
      </c>
      <c r="Q20" s="3">
        <f t="shared" si="0"/>
        <v>3.996</v>
      </c>
      <c r="R20" s="3">
        <f t="shared" si="1"/>
        <v>0.33700000000000002</v>
      </c>
      <c r="S20" s="3">
        <f t="shared" si="2"/>
        <v>0.08</v>
      </c>
      <c r="T20" s="3">
        <f t="shared" si="3"/>
        <v>-1.022</v>
      </c>
      <c r="U20" s="3"/>
      <c r="V20" s="3">
        <f t="shared" si="4"/>
        <v>0.123</v>
      </c>
      <c r="W20" s="3">
        <f t="shared" si="5"/>
        <v>-6.3E-2</v>
      </c>
      <c r="Y20" s="3">
        <f t="shared" si="6"/>
        <v>3.391</v>
      </c>
      <c r="Z20" s="3">
        <f t="shared" si="7"/>
        <v>0.06</v>
      </c>
      <c r="AA20" s="3">
        <f t="shared" si="8"/>
        <v>3.4510000000000001</v>
      </c>
      <c r="AB20" s="3"/>
    </row>
    <row r="21" spans="1:39" x14ac:dyDescent="0.25">
      <c r="A21">
        <v>99996</v>
      </c>
      <c r="B21" t="s">
        <v>416</v>
      </c>
      <c r="C21" s="13">
        <v>4548</v>
      </c>
      <c r="D21" s="13">
        <v>280</v>
      </c>
      <c r="E21" s="13">
        <v>233</v>
      </c>
      <c r="F21" s="13">
        <v>1012</v>
      </c>
      <c r="G21" s="13">
        <v>681</v>
      </c>
      <c r="H21" s="13">
        <v>168</v>
      </c>
      <c r="J21" s="13">
        <v>1112</v>
      </c>
      <c r="K21" s="13">
        <v>270</v>
      </c>
      <c r="L21" s="13">
        <v>194</v>
      </c>
      <c r="M21" s="13">
        <v>847</v>
      </c>
      <c r="N21" s="13">
        <v>1335</v>
      </c>
      <c r="O21" s="13">
        <v>138</v>
      </c>
      <c r="Q21" s="3">
        <f t="shared" si="0"/>
        <v>3.4359999999999999</v>
      </c>
      <c r="R21" s="3">
        <f t="shared" si="1"/>
        <v>0.01</v>
      </c>
      <c r="S21" s="3">
        <f t="shared" si="2"/>
        <v>3.9E-2</v>
      </c>
      <c r="T21" s="3">
        <f t="shared" si="3"/>
        <v>-0.65400000000000003</v>
      </c>
      <c r="U21" s="3"/>
      <c r="V21" s="3">
        <f t="shared" si="4"/>
        <v>0.16500000000000001</v>
      </c>
      <c r="W21" s="3">
        <f t="shared" si="5"/>
        <v>0.03</v>
      </c>
      <c r="Y21" s="3">
        <f t="shared" si="6"/>
        <v>2.831</v>
      </c>
      <c r="Z21" s="3">
        <f t="shared" si="7"/>
        <v>0.19500000000000001</v>
      </c>
      <c r="AA21" s="3">
        <f t="shared" si="8"/>
        <v>3.0259999999999998</v>
      </c>
      <c r="AB21" s="3"/>
    </row>
    <row r="22" spans="1:39" x14ac:dyDescent="0.25">
      <c r="A22">
        <v>99996</v>
      </c>
      <c r="B22" t="s">
        <v>417</v>
      </c>
      <c r="C22" s="13">
        <v>4968</v>
      </c>
      <c r="D22" s="13">
        <v>695</v>
      </c>
      <c r="E22" s="13">
        <v>241</v>
      </c>
      <c r="F22" s="13">
        <v>973</v>
      </c>
      <c r="G22" s="13">
        <v>786</v>
      </c>
      <c r="H22" s="13">
        <v>247</v>
      </c>
      <c r="J22" s="13">
        <v>1415</v>
      </c>
      <c r="K22" s="13">
        <v>174</v>
      </c>
      <c r="L22" s="13">
        <v>150</v>
      </c>
      <c r="M22" s="13">
        <v>752</v>
      </c>
      <c r="N22" s="13">
        <v>1069</v>
      </c>
      <c r="O22" s="13">
        <v>141</v>
      </c>
      <c r="Q22" s="3">
        <f t="shared" si="0"/>
        <v>3.5529999999999999</v>
      </c>
      <c r="R22" s="3">
        <f t="shared" si="1"/>
        <v>0.52100000000000002</v>
      </c>
      <c r="S22" s="3">
        <f t="shared" si="2"/>
        <v>9.0999999999999998E-2</v>
      </c>
      <c r="T22" s="3">
        <f t="shared" si="3"/>
        <v>-0.28299999999999997</v>
      </c>
      <c r="U22" s="3"/>
      <c r="V22" s="3">
        <f t="shared" si="4"/>
        <v>0.221</v>
      </c>
      <c r="W22" s="3">
        <f t="shared" si="5"/>
        <v>0.106</v>
      </c>
      <c r="Y22" s="3">
        <f t="shared" si="6"/>
        <v>3.8820000000000001</v>
      </c>
      <c r="Z22" s="3">
        <f t="shared" si="7"/>
        <v>0.32700000000000001</v>
      </c>
      <c r="AA22" s="3">
        <f t="shared" si="8"/>
        <v>4.2089999999999996</v>
      </c>
      <c r="AB22" s="3"/>
      <c r="AD22" s="2" t="str">
        <f t="shared" ref="AD22:AF23" si="9">AD11</f>
        <v>12 m Net</v>
      </c>
      <c r="AE22" s="2" t="str">
        <f t="shared" si="9"/>
        <v>12 m Net</v>
      </c>
      <c r="AF22" s="2" t="str">
        <f t="shared" si="9"/>
        <v>12 m Net</v>
      </c>
      <c r="AI22" s="2" t="s">
        <v>398</v>
      </c>
      <c r="AJ22" s="2" t="s">
        <v>398</v>
      </c>
      <c r="AK22" s="2" t="s">
        <v>398</v>
      </c>
      <c r="AL22" s="2" t="s">
        <v>398</v>
      </c>
      <c r="AM22" s="11" t="s">
        <v>399</v>
      </c>
    </row>
    <row r="23" spans="1:39" x14ac:dyDescent="0.25">
      <c r="A23">
        <v>99996</v>
      </c>
      <c r="B23" t="s">
        <v>418</v>
      </c>
      <c r="C23" s="13">
        <v>4803</v>
      </c>
      <c r="D23" s="13">
        <v>626</v>
      </c>
      <c r="E23" s="13">
        <v>129</v>
      </c>
      <c r="F23" s="13">
        <v>1281</v>
      </c>
      <c r="G23" s="13">
        <v>593</v>
      </c>
      <c r="H23" s="13">
        <v>214</v>
      </c>
      <c r="J23" s="13">
        <v>1728</v>
      </c>
      <c r="K23" s="13">
        <v>120</v>
      </c>
      <c r="L23" s="13">
        <v>116</v>
      </c>
      <c r="M23" s="13">
        <v>899</v>
      </c>
      <c r="N23" s="13">
        <v>921</v>
      </c>
      <c r="O23" s="13">
        <v>180</v>
      </c>
      <c r="Q23" s="3">
        <f t="shared" si="0"/>
        <v>3.0750000000000002</v>
      </c>
      <c r="R23" s="3">
        <f t="shared" si="1"/>
        <v>0.50600000000000001</v>
      </c>
      <c r="S23" s="3">
        <f t="shared" si="2"/>
        <v>1.2999999999999999E-2</v>
      </c>
      <c r="T23" s="3">
        <f t="shared" si="3"/>
        <v>-0.32800000000000001</v>
      </c>
      <c r="U23" s="3"/>
      <c r="V23" s="3">
        <f t="shared" si="4"/>
        <v>0.38200000000000001</v>
      </c>
      <c r="W23" s="3">
        <f t="shared" si="5"/>
        <v>3.4000000000000002E-2</v>
      </c>
      <c r="Y23" s="3">
        <f t="shared" si="6"/>
        <v>3.2660000000000005</v>
      </c>
      <c r="Z23" s="3">
        <f t="shared" si="7"/>
        <v>0.41600000000000004</v>
      </c>
      <c r="AA23" s="3">
        <f t="shared" si="8"/>
        <v>3.6820000000000004</v>
      </c>
      <c r="AB23" s="3"/>
      <c r="AD23" s="2" t="str">
        <f t="shared" si="9"/>
        <v>Bond</v>
      </c>
      <c r="AE23" s="2" t="str">
        <f t="shared" si="9"/>
        <v>stk</v>
      </c>
      <c r="AF23" s="2" t="str">
        <f t="shared" si="9"/>
        <v>Net flows</v>
      </c>
      <c r="AI23" s="2" t="s">
        <v>16</v>
      </c>
      <c r="AJ23" s="2" t="s">
        <v>18</v>
      </c>
      <c r="AK23" s="2" t="s">
        <v>19</v>
      </c>
      <c r="AL23" s="2" t="s">
        <v>402</v>
      </c>
      <c r="AM23" s="11" t="s">
        <v>407</v>
      </c>
    </row>
    <row r="24" spans="1:39" x14ac:dyDescent="0.25">
      <c r="A24">
        <v>99996</v>
      </c>
      <c r="B24" t="s">
        <v>419</v>
      </c>
      <c r="C24" s="13">
        <v>2330</v>
      </c>
      <c r="D24" s="13">
        <v>154</v>
      </c>
      <c r="E24" s="13">
        <v>179</v>
      </c>
      <c r="F24" s="13">
        <v>1235</v>
      </c>
      <c r="G24" s="13">
        <v>885</v>
      </c>
      <c r="H24" s="13">
        <v>291</v>
      </c>
      <c r="J24" s="13">
        <v>1467</v>
      </c>
      <c r="K24" s="13">
        <v>146</v>
      </c>
      <c r="L24" s="13">
        <v>159</v>
      </c>
      <c r="M24" s="13">
        <v>945</v>
      </c>
      <c r="N24" s="13">
        <v>1224</v>
      </c>
      <c r="O24" s="13">
        <v>232</v>
      </c>
      <c r="Q24" s="3">
        <f t="shared" si="0"/>
        <v>0.86299999999999999</v>
      </c>
      <c r="R24" s="3">
        <f t="shared" si="1"/>
        <v>8.0000000000000002E-3</v>
      </c>
      <c r="S24" s="3">
        <f t="shared" si="2"/>
        <v>0.02</v>
      </c>
      <c r="T24" s="3">
        <f t="shared" si="3"/>
        <v>-0.33900000000000002</v>
      </c>
      <c r="U24" s="3"/>
      <c r="V24" s="3">
        <f t="shared" si="4"/>
        <v>0.28999999999999998</v>
      </c>
      <c r="W24" s="3">
        <f t="shared" si="5"/>
        <v>5.8999999999999997E-2</v>
      </c>
      <c r="Y24" s="3">
        <f t="shared" si="6"/>
        <v>0.55200000000000005</v>
      </c>
      <c r="Z24" s="3">
        <f t="shared" si="7"/>
        <v>0.34899999999999998</v>
      </c>
      <c r="AA24" s="3">
        <f t="shared" si="8"/>
        <v>0.90100000000000002</v>
      </c>
      <c r="AB24" s="3"/>
      <c r="AC24" s="2" t="str">
        <f t="shared" ref="AC24:AC87" si="10">B24</f>
        <v>1977-12</v>
      </c>
      <c r="AD24" s="9">
        <f t="shared" ref="AD24:AD87" si="11">SUM(Y13:Y24)</f>
        <v>22.814</v>
      </c>
      <c r="AE24" s="9">
        <f t="shared" ref="AE24:AE87" si="12">SUM(Z13:Z24)</f>
        <v>2.2629999999999999</v>
      </c>
      <c r="AF24" s="9">
        <f t="shared" ref="AF24:AF87" si="13">SUM(AA13:AA24)</f>
        <v>25.076999999999995</v>
      </c>
      <c r="AG24" s="9"/>
      <c r="AH24" s="10">
        <v>28460</v>
      </c>
      <c r="AI24" s="9">
        <f t="shared" ref="AI24:AI87" si="14">SUM(Q13:Q24)</f>
        <v>23.6</v>
      </c>
      <c r="AJ24" s="9">
        <f t="shared" ref="AJ24:AJ87" si="15">SUM(R13:R24)</f>
        <v>2.76</v>
      </c>
      <c r="AK24" s="9">
        <f t="shared" ref="AK24:AK87" si="16">SUM(S13:S24)</f>
        <v>1.5499999999999998</v>
      </c>
      <c r="AL24" s="9">
        <f t="shared" ref="AL24:AL87" si="17">SUM(T13:T24)</f>
        <v>-5.096000000000001</v>
      </c>
      <c r="AM24" s="12">
        <f t="shared" ref="AM24:AM87" si="18">AF24-AI24</f>
        <v>1.4769999999999932</v>
      </c>
    </row>
    <row r="25" spans="1:39" x14ac:dyDescent="0.25">
      <c r="A25">
        <v>99996</v>
      </c>
      <c r="B25" t="s">
        <v>7</v>
      </c>
      <c r="C25" s="13">
        <v>3380</v>
      </c>
      <c r="D25" s="13">
        <v>325</v>
      </c>
      <c r="E25" s="13">
        <v>134</v>
      </c>
      <c r="F25" s="13">
        <v>1024</v>
      </c>
      <c r="G25" s="13">
        <v>818</v>
      </c>
      <c r="H25" s="13">
        <v>255</v>
      </c>
      <c r="J25" s="13">
        <v>1899</v>
      </c>
      <c r="K25" s="13">
        <v>259</v>
      </c>
      <c r="L25" s="13">
        <v>119</v>
      </c>
      <c r="M25" s="13">
        <v>909</v>
      </c>
      <c r="N25" s="13">
        <v>1454</v>
      </c>
      <c r="O25" s="13">
        <v>152</v>
      </c>
      <c r="Q25" s="3">
        <f t="shared" si="0"/>
        <v>1.4810000000000001</v>
      </c>
      <c r="R25" s="3">
        <f t="shared" si="1"/>
        <v>6.6000000000000003E-2</v>
      </c>
      <c r="S25" s="3">
        <f t="shared" si="2"/>
        <v>1.4999999999999999E-2</v>
      </c>
      <c r="T25" s="3">
        <f t="shared" si="3"/>
        <v>-0.63600000000000001</v>
      </c>
      <c r="U25" s="3"/>
      <c r="V25" s="3">
        <f t="shared" si="4"/>
        <v>0.115</v>
      </c>
      <c r="W25" s="3">
        <f t="shared" si="5"/>
        <v>0.10299999999999999</v>
      </c>
      <c r="Y25" s="3">
        <f t="shared" si="6"/>
        <v>0.92600000000000005</v>
      </c>
      <c r="Z25" s="3">
        <f t="shared" si="7"/>
        <v>0.218</v>
      </c>
      <c r="AA25" s="3">
        <f t="shared" si="8"/>
        <v>1.1440000000000001</v>
      </c>
      <c r="AB25" s="3"/>
      <c r="AC25" s="2" t="str">
        <f t="shared" si="10"/>
        <v>1978-01</v>
      </c>
      <c r="AD25" s="9">
        <f t="shared" si="11"/>
        <v>23.228999999999999</v>
      </c>
      <c r="AE25" s="9">
        <f t="shared" si="12"/>
        <v>2.2010000000000001</v>
      </c>
      <c r="AF25" s="9">
        <f t="shared" si="13"/>
        <v>25.43</v>
      </c>
      <c r="AG25" s="9"/>
      <c r="AH25" s="10">
        <v>28491</v>
      </c>
      <c r="AI25" s="9">
        <f t="shared" si="14"/>
        <v>24.571000000000002</v>
      </c>
      <c r="AJ25" s="9">
        <f t="shared" si="15"/>
        <v>2.7379999999999995</v>
      </c>
      <c r="AK25" s="9">
        <f t="shared" si="16"/>
        <v>1.5699999999999996</v>
      </c>
      <c r="AL25" s="9">
        <f t="shared" si="17"/>
        <v>-5.6500000000000012</v>
      </c>
      <c r="AM25" s="12">
        <f t="shared" si="18"/>
        <v>0.85899999999999821</v>
      </c>
    </row>
    <row r="26" spans="1:39" x14ac:dyDescent="0.25">
      <c r="A26">
        <v>99996</v>
      </c>
      <c r="B26" t="s">
        <v>8</v>
      </c>
      <c r="C26" s="13">
        <v>2360</v>
      </c>
      <c r="D26" s="13">
        <v>344</v>
      </c>
      <c r="E26" s="13">
        <v>230</v>
      </c>
      <c r="F26" s="13">
        <v>826</v>
      </c>
      <c r="G26" s="13">
        <v>597</v>
      </c>
      <c r="H26" s="13">
        <v>280</v>
      </c>
      <c r="J26" s="13">
        <v>2082</v>
      </c>
      <c r="K26" s="13">
        <v>249</v>
      </c>
      <c r="L26" s="13">
        <v>99</v>
      </c>
      <c r="M26" s="13">
        <v>762</v>
      </c>
      <c r="N26" s="13">
        <v>789</v>
      </c>
      <c r="O26" s="13">
        <v>167</v>
      </c>
      <c r="Q26" s="3">
        <f t="shared" si="0"/>
        <v>0.27800000000000002</v>
      </c>
      <c r="R26" s="3">
        <f t="shared" si="1"/>
        <v>9.5000000000000001E-2</v>
      </c>
      <c r="S26" s="3">
        <f t="shared" si="2"/>
        <v>0.13100000000000001</v>
      </c>
      <c r="T26" s="3">
        <f t="shared" si="3"/>
        <v>-0.192</v>
      </c>
      <c r="U26" s="3"/>
      <c r="V26" s="3">
        <f t="shared" si="4"/>
        <v>6.4000000000000001E-2</v>
      </c>
      <c r="W26" s="3">
        <f t="shared" si="5"/>
        <v>0.113</v>
      </c>
      <c r="Y26" s="3">
        <f t="shared" si="6"/>
        <v>0.312</v>
      </c>
      <c r="Z26" s="3">
        <f t="shared" si="7"/>
        <v>0.17699999999999999</v>
      </c>
      <c r="AA26" s="3">
        <f t="shared" si="8"/>
        <v>0.48899999999999999</v>
      </c>
      <c r="AB26" s="3"/>
      <c r="AC26" s="2" t="str">
        <f t="shared" si="10"/>
        <v>1978-02</v>
      </c>
      <c r="AD26" s="9">
        <f t="shared" si="11"/>
        <v>22.314000000000004</v>
      </c>
      <c r="AE26" s="9">
        <f t="shared" si="12"/>
        <v>2.351</v>
      </c>
      <c r="AF26" s="9">
        <f t="shared" si="13"/>
        <v>24.665000000000003</v>
      </c>
      <c r="AG26" s="9"/>
      <c r="AH26" s="10">
        <v>28522</v>
      </c>
      <c r="AI26" s="9">
        <f t="shared" si="14"/>
        <v>23.552999999999997</v>
      </c>
      <c r="AJ26" s="9">
        <f t="shared" si="15"/>
        <v>2.8279999999999998</v>
      </c>
      <c r="AK26" s="9">
        <f t="shared" si="16"/>
        <v>1.3889999999999998</v>
      </c>
      <c r="AL26" s="9">
        <f t="shared" si="17"/>
        <v>-5.4560000000000004</v>
      </c>
      <c r="AM26" s="12">
        <f t="shared" si="18"/>
        <v>1.1120000000000054</v>
      </c>
    </row>
    <row r="27" spans="1:39" x14ac:dyDescent="0.25">
      <c r="A27">
        <v>99996</v>
      </c>
      <c r="B27" t="s">
        <v>9</v>
      </c>
      <c r="C27" s="13">
        <v>2627</v>
      </c>
      <c r="D27" s="13">
        <v>420</v>
      </c>
      <c r="E27" s="13">
        <v>183</v>
      </c>
      <c r="F27" s="13">
        <v>1414</v>
      </c>
      <c r="G27" s="13">
        <v>819</v>
      </c>
      <c r="H27" s="13">
        <v>337</v>
      </c>
      <c r="J27" s="13">
        <v>1756</v>
      </c>
      <c r="K27" s="13">
        <v>450</v>
      </c>
      <c r="L27" s="13">
        <v>201</v>
      </c>
      <c r="M27" s="13">
        <v>922</v>
      </c>
      <c r="N27" s="13">
        <v>1436</v>
      </c>
      <c r="O27" s="13">
        <v>223</v>
      </c>
      <c r="Q27" s="3">
        <f t="shared" si="0"/>
        <v>0.871</v>
      </c>
      <c r="R27" s="3">
        <f t="shared" si="1"/>
        <v>-0.03</v>
      </c>
      <c r="S27" s="3">
        <f t="shared" si="2"/>
        <v>-1.7999999999999999E-2</v>
      </c>
      <c r="T27" s="3">
        <f t="shared" si="3"/>
        <v>-0.61699999999999999</v>
      </c>
      <c r="U27" s="3"/>
      <c r="V27" s="3">
        <f t="shared" si="4"/>
        <v>0.49199999999999999</v>
      </c>
      <c r="W27" s="3">
        <f t="shared" si="5"/>
        <v>0.114</v>
      </c>
      <c r="Y27" s="3">
        <f t="shared" si="6"/>
        <v>0.20599999999999996</v>
      </c>
      <c r="Z27" s="3">
        <f t="shared" si="7"/>
        <v>0.60599999999999998</v>
      </c>
      <c r="AA27" s="3">
        <f t="shared" si="8"/>
        <v>0.81199999999999994</v>
      </c>
      <c r="AB27" s="3"/>
      <c r="AC27" s="2" t="str">
        <f t="shared" si="10"/>
        <v>1978-03</v>
      </c>
      <c r="AD27" s="9">
        <f t="shared" si="11"/>
        <v>20.979999999999997</v>
      </c>
      <c r="AE27" s="9">
        <f t="shared" si="12"/>
        <v>2.895</v>
      </c>
      <c r="AF27" s="9">
        <f t="shared" si="13"/>
        <v>23.875000000000007</v>
      </c>
      <c r="AG27" s="9"/>
      <c r="AH27" s="10">
        <v>28550</v>
      </c>
      <c r="AI27" s="9">
        <f t="shared" si="14"/>
        <v>22.918999999999997</v>
      </c>
      <c r="AJ27" s="9">
        <f t="shared" si="15"/>
        <v>2.7220000000000004</v>
      </c>
      <c r="AK27" s="9">
        <f t="shared" si="16"/>
        <v>1.3249999999999997</v>
      </c>
      <c r="AL27" s="9">
        <f t="shared" si="17"/>
        <v>-5.9860000000000007</v>
      </c>
      <c r="AM27" s="12">
        <f t="shared" si="18"/>
        <v>0.95600000000001017</v>
      </c>
    </row>
    <row r="28" spans="1:39" x14ac:dyDescent="0.25">
      <c r="A28">
        <v>99996</v>
      </c>
      <c r="B28" t="s">
        <v>10</v>
      </c>
      <c r="C28" s="13">
        <v>1798</v>
      </c>
      <c r="D28" s="13">
        <v>162</v>
      </c>
      <c r="E28" s="13">
        <v>149</v>
      </c>
      <c r="F28" s="13">
        <v>1864</v>
      </c>
      <c r="G28" s="13">
        <v>1237</v>
      </c>
      <c r="H28" s="13">
        <v>407</v>
      </c>
      <c r="J28" s="13">
        <v>3377</v>
      </c>
      <c r="K28" s="13">
        <v>160</v>
      </c>
      <c r="L28" s="13">
        <v>186</v>
      </c>
      <c r="M28" s="13">
        <v>1150</v>
      </c>
      <c r="N28" s="13">
        <v>1723</v>
      </c>
      <c r="O28" s="13">
        <v>262</v>
      </c>
      <c r="Q28" s="3">
        <f t="shared" si="0"/>
        <v>-1.579</v>
      </c>
      <c r="R28" s="3">
        <f t="shared" si="1"/>
        <v>2E-3</v>
      </c>
      <c r="S28" s="3">
        <f t="shared" si="2"/>
        <v>-3.6999999999999998E-2</v>
      </c>
      <c r="T28" s="3">
        <f t="shared" si="3"/>
        <v>-0.48599999999999999</v>
      </c>
      <c r="U28" s="3"/>
      <c r="V28" s="3">
        <f t="shared" si="4"/>
        <v>0.71399999999999997</v>
      </c>
      <c r="W28" s="3">
        <f t="shared" si="5"/>
        <v>0.14499999999999999</v>
      </c>
      <c r="Y28" s="3">
        <f t="shared" si="6"/>
        <v>-2.0999999999999996</v>
      </c>
      <c r="Z28" s="3">
        <f t="shared" si="7"/>
        <v>0.85899999999999999</v>
      </c>
      <c r="AA28" s="3">
        <f t="shared" si="8"/>
        <v>-1.2409999999999997</v>
      </c>
      <c r="AB28" s="3"/>
      <c r="AC28" s="2" t="str">
        <f t="shared" si="10"/>
        <v>1978-04</v>
      </c>
      <c r="AD28" s="9">
        <f t="shared" si="11"/>
        <v>17.369</v>
      </c>
      <c r="AE28" s="9">
        <f t="shared" si="12"/>
        <v>3.5619999999999998</v>
      </c>
      <c r="AF28" s="9">
        <f t="shared" si="13"/>
        <v>20.931000000000004</v>
      </c>
      <c r="AG28" s="9"/>
      <c r="AH28" s="10">
        <v>28581</v>
      </c>
      <c r="AI28" s="9">
        <f t="shared" si="14"/>
        <v>20.394999999999996</v>
      </c>
      <c r="AJ28" s="9">
        <f t="shared" si="15"/>
        <v>2.4039999999999999</v>
      </c>
      <c r="AK28" s="9">
        <f t="shared" si="16"/>
        <v>0.97399999999999987</v>
      </c>
      <c r="AL28" s="9">
        <f t="shared" si="17"/>
        <v>-6.4039999999999999</v>
      </c>
      <c r="AM28" s="12">
        <f t="shared" si="18"/>
        <v>0.53600000000000847</v>
      </c>
    </row>
    <row r="29" spans="1:39" x14ac:dyDescent="0.25">
      <c r="A29">
        <v>99996</v>
      </c>
      <c r="B29" t="s">
        <v>11</v>
      </c>
      <c r="C29" s="13">
        <v>2982</v>
      </c>
      <c r="D29" s="13">
        <v>266</v>
      </c>
      <c r="E29" s="13">
        <v>514</v>
      </c>
      <c r="F29" s="13">
        <v>2394</v>
      </c>
      <c r="G29" s="13">
        <v>1020</v>
      </c>
      <c r="H29" s="13">
        <v>272</v>
      </c>
      <c r="J29" s="13">
        <v>3278</v>
      </c>
      <c r="K29" s="13">
        <v>171</v>
      </c>
      <c r="L29" s="13">
        <v>193</v>
      </c>
      <c r="M29" s="13">
        <v>1966</v>
      </c>
      <c r="N29" s="13">
        <v>1063</v>
      </c>
      <c r="O29" s="13">
        <v>284</v>
      </c>
      <c r="Q29" s="3">
        <f t="shared" si="0"/>
        <v>-0.29599999999999999</v>
      </c>
      <c r="R29" s="3">
        <f t="shared" si="1"/>
        <v>9.5000000000000001E-2</v>
      </c>
      <c r="S29" s="3">
        <f t="shared" si="2"/>
        <v>0.32100000000000001</v>
      </c>
      <c r="T29" s="3">
        <f t="shared" si="3"/>
        <v>-4.2999999999999997E-2</v>
      </c>
      <c r="U29" s="3"/>
      <c r="V29" s="3">
        <f t="shared" si="4"/>
        <v>0.42799999999999999</v>
      </c>
      <c r="W29" s="3">
        <f t="shared" si="5"/>
        <v>-1.2E-2</v>
      </c>
      <c r="Y29" s="3">
        <f t="shared" si="6"/>
        <v>7.7000000000000027E-2</v>
      </c>
      <c r="Z29" s="3">
        <f t="shared" si="7"/>
        <v>0.41599999999999998</v>
      </c>
      <c r="AA29" s="3">
        <f t="shared" si="8"/>
        <v>0.49299999999999999</v>
      </c>
      <c r="AB29" s="3"/>
      <c r="AC29" s="2" t="str">
        <f t="shared" si="10"/>
        <v>1978-05</v>
      </c>
      <c r="AD29" s="9">
        <f t="shared" si="11"/>
        <v>17.111999999999998</v>
      </c>
      <c r="AE29" s="9">
        <f t="shared" si="12"/>
        <v>3.7589999999999999</v>
      </c>
      <c r="AF29" s="9">
        <f t="shared" si="13"/>
        <v>20.870999999999999</v>
      </c>
      <c r="AG29" s="9"/>
      <c r="AH29" s="10">
        <v>28611</v>
      </c>
      <c r="AI29" s="9">
        <f t="shared" si="14"/>
        <v>19.210999999999999</v>
      </c>
      <c r="AJ29" s="9">
        <f t="shared" si="15"/>
        <v>2.3800000000000003</v>
      </c>
      <c r="AK29" s="9">
        <f t="shared" si="16"/>
        <v>1.103</v>
      </c>
      <c r="AL29" s="9">
        <f t="shared" si="17"/>
        <v>-5.5819999999999999</v>
      </c>
      <c r="AM29" s="12">
        <f t="shared" si="18"/>
        <v>1.6600000000000001</v>
      </c>
    </row>
    <row r="30" spans="1:39" x14ac:dyDescent="0.25">
      <c r="A30">
        <v>99996</v>
      </c>
      <c r="B30" t="s">
        <v>12</v>
      </c>
      <c r="C30" s="13">
        <v>2965</v>
      </c>
      <c r="D30" s="13">
        <v>416</v>
      </c>
      <c r="E30" s="13">
        <v>255</v>
      </c>
      <c r="F30" s="13">
        <v>2094</v>
      </c>
      <c r="G30" s="13">
        <v>1110</v>
      </c>
      <c r="H30" s="13">
        <v>247</v>
      </c>
      <c r="J30" s="13">
        <v>1695</v>
      </c>
      <c r="K30" s="13">
        <v>188</v>
      </c>
      <c r="L30" s="13">
        <v>122</v>
      </c>
      <c r="M30" s="13">
        <v>1938</v>
      </c>
      <c r="N30" s="13">
        <v>1746</v>
      </c>
      <c r="O30" s="13">
        <v>308</v>
      </c>
      <c r="Q30" s="3">
        <f t="shared" si="0"/>
        <v>1.27</v>
      </c>
      <c r="R30" s="3">
        <f t="shared" si="1"/>
        <v>0.22800000000000001</v>
      </c>
      <c r="S30" s="3">
        <f t="shared" si="2"/>
        <v>0.13300000000000001</v>
      </c>
      <c r="T30" s="3">
        <f t="shared" si="3"/>
        <v>-0.63600000000000001</v>
      </c>
      <c r="U30" s="3"/>
      <c r="V30" s="3">
        <f t="shared" si="4"/>
        <v>0.156</v>
      </c>
      <c r="W30" s="3">
        <f t="shared" si="5"/>
        <v>-6.0999999999999999E-2</v>
      </c>
      <c r="Y30" s="3">
        <f t="shared" si="6"/>
        <v>0.995</v>
      </c>
      <c r="Z30" s="3">
        <f t="shared" si="7"/>
        <v>9.5000000000000001E-2</v>
      </c>
      <c r="AA30" s="3">
        <f t="shared" si="8"/>
        <v>1.0900000000000001</v>
      </c>
      <c r="AB30" s="3"/>
      <c r="AC30" s="2" t="str">
        <f t="shared" si="10"/>
        <v>1978-06</v>
      </c>
      <c r="AD30" s="9">
        <f t="shared" si="11"/>
        <v>15.961</v>
      </c>
      <c r="AE30" s="9">
        <f t="shared" si="12"/>
        <v>3.6630000000000003</v>
      </c>
      <c r="AF30" s="9">
        <f t="shared" si="13"/>
        <v>19.624000000000002</v>
      </c>
      <c r="AG30" s="9"/>
      <c r="AH30" s="10">
        <v>28642</v>
      </c>
      <c r="AI30" s="9">
        <f t="shared" si="14"/>
        <v>18.154999999999998</v>
      </c>
      <c r="AJ30" s="9">
        <f t="shared" si="15"/>
        <v>2.1430000000000002</v>
      </c>
      <c r="AK30" s="9">
        <f t="shared" si="16"/>
        <v>1.103</v>
      </c>
      <c r="AL30" s="9">
        <f t="shared" si="17"/>
        <v>-5.44</v>
      </c>
      <c r="AM30" s="12">
        <f t="shared" si="18"/>
        <v>1.4690000000000047</v>
      </c>
    </row>
    <row r="31" spans="1:39" x14ac:dyDescent="0.25">
      <c r="A31">
        <v>99996</v>
      </c>
      <c r="B31" t="s">
        <v>13</v>
      </c>
      <c r="C31" s="13">
        <v>2663</v>
      </c>
      <c r="D31" s="13">
        <v>679</v>
      </c>
      <c r="E31" s="13">
        <v>371</v>
      </c>
      <c r="F31" s="13">
        <v>1306</v>
      </c>
      <c r="G31" s="13">
        <v>941</v>
      </c>
      <c r="H31" s="13">
        <v>333</v>
      </c>
      <c r="J31" s="13">
        <v>2173</v>
      </c>
      <c r="K31" s="13">
        <v>261</v>
      </c>
      <c r="L31" s="13">
        <v>370</v>
      </c>
      <c r="M31" s="13">
        <v>1297</v>
      </c>
      <c r="N31" s="13">
        <v>1284</v>
      </c>
      <c r="O31" s="13">
        <v>323</v>
      </c>
      <c r="Q31" s="3">
        <f t="shared" si="0"/>
        <v>0.49</v>
      </c>
      <c r="R31" s="3">
        <f t="shared" si="1"/>
        <v>0.41799999999999998</v>
      </c>
      <c r="S31" s="3">
        <f t="shared" si="2"/>
        <v>1E-3</v>
      </c>
      <c r="T31" s="3">
        <f t="shared" si="3"/>
        <v>-0.34300000000000003</v>
      </c>
      <c r="U31" s="3"/>
      <c r="V31" s="3">
        <f t="shared" si="4"/>
        <v>8.9999999999999993E-3</v>
      </c>
      <c r="W31" s="3">
        <f t="shared" si="5"/>
        <v>0.01</v>
      </c>
      <c r="Y31" s="3">
        <f t="shared" si="6"/>
        <v>0.56599999999999984</v>
      </c>
      <c r="Z31" s="3">
        <f t="shared" si="7"/>
        <v>1.9E-2</v>
      </c>
      <c r="AA31" s="3">
        <f t="shared" si="8"/>
        <v>0.58499999999999985</v>
      </c>
      <c r="AB31" s="3"/>
      <c r="AC31" s="2" t="str">
        <f t="shared" si="10"/>
        <v>1978-07</v>
      </c>
      <c r="AD31" s="9">
        <f t="shared" si="11"/>
        <v>14.903999999999996</v>
      </c>
      <c r="AE31" s="9">
        <f t="shared" si="12"/>
        <v>3.7370000000000001</v>
      </c>
      <c r="AF31" s="9">
        <f t="shared" si="13"/>
        <v>18.641000000000002</v>
      </c>
      <c r="AG31" s="9"/>
      <c r="AH31" s="10">
        <v>28672</v>
      </c>
      <c r="AI31" s="9">
        <f t="shared" si="14"/>
        <v>17.437999999999995</v>
      </c>
      <c r="AJ31" s="9">
        <f t="shared" si="15"/>
        <v>2.2560000000000002</v>
      </c>
      <c r="AK31" s="9">
        <f t="shared" si="16"/>
        <v>0.78900000000000003</v>
      </c>
      <c r="AL31" s="9">
        <f t="shared" si="17"/>
        <v>-5.5789999999999997</v>
      </c>
      <c r="AM31" s="12">
        <f t="shared" si="18"/>
        <v>1.2030000000000065</v>
      </c>
    </row>
    <row r="32" spans="1:39" x14ac:dyDescent="0.25">
      <c r="A32">
        <v>99996</v>
      </c>
      <c r="B32" t="s">
        <v>14</v>
      </c>
      <c r="C32" s="13">
        <v>2853</v>
      </c>
      <c r="D32" s="13">
        <v>398</v>
      </c>
      <c r="E32" s="13">
        <v>471</v>
      </c>
      <c r="F32" s="13">
        <v>2446</v>
      </c>
      <c r="G32" s="13">
        <v>990</v>
      </c>
      <c r="H32" s="13">
        <v>383</v>
      </c>
      <c r="J32" s="13">
        <v>2427</v>
      </c>
      <c r="K32" s="13">
        <v>266</v>
      </c>
      <c r="L32" s="13">
        <v>224</v>
      </c>
      <c r="M32" s="13">
        <v>2680</v>
      </c>
      <c r="N32" s="13">
        <v>1189</v>
      </c>
      <c r="O32" s="13">
        <v>331</v>
      </c>
      <c r="Q32" s="3">
        <f t="shared" si="0"/>
        <v>0.42599999999999999</v>
      </c>
      <c r="R32" s="3">
        <f t="shared" si="1"/>
        <v>0.13200000000000001</v>
      </c>
      <c r="S32" s="3">
        <f t="shared" si="2"/>
        <v>0.247</v>
      </c>
      <c r="T32" s="3">
        <f t="shared" si="3"/>
        <v>-0.19900000000000001</v>
      </c>
      <c r="U32" s="3"/>
      <c r="V32" s="3">
        <f t="shared" si="4"/>
        <v>-0.23400000000000001</v>
      </c>
      <c r="W32" s="3">
        <f t="shared" si="5"/>
        <v>5.1999999999999998E-2</v>
      </c>
      <c r="Y32" s="3">
        <f t="shared" si="6"/>
        <v>0.60600000000000009</v>
      </c>
      <c r="Z32" s="3">
        <f t="shared" si="7"/>
        <v>-0.18200000000000002</v>
      </c>
      <c r="AA32" s="3">
        <f t="shared" si="8"/>
        <v>0.4240000000000001</v>
      </c>
      <c r="AB32" s="3"/>
      <c r="AC32" s="2" t="str">
        <f t="shared" si="10"/>
        <v>1978-08</v>
      </c>
      <c r="AD32" s="9">
        <f t="shared" si="11"/>
        <v>12.118999999999998</v>
      </c>
      <c r="AE32" s="9">
        <f t="shared" si="12"/>
        <v>3.4950000000000001</v>
      </c>
      <c r="AF32" s="9">
        <f t="shared" si="13"/>
        <v>15.613999999999999</v>
      </c>
      <c r="AG32" s="9"/>
      <c r="AH32" s="10">
        <v>28703</v>
      </c>
      <c r="AI32" s="9">
        <f t="shared" si="14"/>
        <v>13.868</v>
      </c>
      <c r="AJ32" s="9">
        <f t="shared" si="15"/>
        <v>2.0509999999999997</v>
      </c>
      <c r="AK32" s="9">
        <f t="shared" si="16"/>
        <v>0.95599999999999996</v>
      </c>
      <c r="AL32" s="9">
        <f t="shared" si="17"/>
        <v>-4.7560000000000002</v>
      </c>
      <c r="AM32" s="12">
        <f t="shared" si="18"/>
        <v>1.7459999999999987</v>
      </c>
    </row>
    <row r="33" spans="1:39" x14ac:dyDescent="0.25">
      <c r="A33">
        <v>99996</v>
      </c>
      <c r="B33" t="s">
        <v>15</v>
      </c>
      <c r="C33" s="13">
        <v>2516</v>
      </c>
      <c r="D33" s="13">
        <v>289</v>
      </c>
      <c r="E33" s="13">
        <v>321</v>
      </c>
      <c r="F33" s="13">
        <v>2357</v>
      </c>
      <c r="G33" s="13">
        <v>774</v>
      </c>
      <c r="H33" s="13">
        <v>261</v>
      </c>
      <c r="J33" s="13">
        <v>1877</v>
      </c>
      <c r="K33" s="13">
        <v>282</v>
      </c>
      <c r="L33" s="13">
        <v>268</v>
      </c>
      <c r="M33" s="13">
        <v>2115</v>
      </c>
      <c r="N33" s="13">
        <v>735</v>
      </c>
      <c r="O33" s="13">
        <v>330</v>
      </c>
      <c r="Q33" s="3">
        <f t="shared" si="0"/>
        <v>0.63900000000000001</v>
      </c>
      <c r="R33" s="3">
        <f t="shared" si="1"/>
        <v>7.0000000000000001E-3</v>
      </c>
      <c r="S33" s="3">
        <f t="shared" si="2"/>
        <v>5.2999999999999999E-2</v>
      </c>
      <c r="T33" s="3">
        <f t="shared" si="3"/>
        <v>3.9E-2</v>
      </c>
      <c r="U33" s="3"/>
      <c r="V33" s="3">
        <f t="shared" si="4"/>
        <v>0.24199999999999999</v>
      </c>
      <c r="W33" s="3">
        <f t="shared" si="5"/>
        <v>-6.9000000000000006E-2</v>
      </c>
      <c r="Y33" s="3">
        <f t="shared" si="6"/>
        <v>0.7380000000000001</v>
      </c>
      <c r="Z33" s="3">
        <f t="shared" si="7"/>
        <v>0.17299999999999999</v>
      </c>
      <c r="AA33" s="3">
        <f t="shared" si="8"/>
        <v>0.91100000000000003</v>
      </c>
      <c r="AB33" s="3"/>
      <c r="AC33" s="2" t="str">
        <f t="shared" si="10"/>
        <v>1978-09</v>
      </c>
      <c r="AD33" s="9">
        <f t="shared" si="11"/>
        <v>10.025999999999998</v>
      </c>
      <c r="AE33" s="9">
        <f t="shared" si="12"/>
        <v>3.4730000000000003</v>
      </c>
      <c r="AF33" s="9">
        <f t="shared" si="13"/>
        <v>13.498999999999999</v>
      </c>
      <c r="AG33" s="9"/>
      <c r="AH33" s="10">
        <v>28734</v>
      </c>
      <c r="AI33" s="9">
        <f t="shared" si="14"/>
        <v>11.071</v>
      </c>
      <c r="AJ33" s="9">
        <f t="shared" si="15"/>
        <v>2.048</v>
      </c>
      <c r="AK33" s="9">
        <f t="shared" si="16"/>
        <v>0.97000000000000008</v>
      </c>
      <c r="AL33" s="9">
        <f t="shared" si="17"/>
        <v>-4.0629999999999997</v>
      </c>
      <c r="AM33" s="12">
        <f t="shared" si="18"/>
        <v>2.427999999999999</v>
      </c>
    </row>
    <row r="34" spans="1:39" x14ac:dyDescent="0.25">
      <c r="A34">
        <v>99996</v>
      </c>
      <c r="B34" t="s">
        <v>17</v>
      </c>
      <c r="C34" s="13">
        <v>4219</v>
      </c>
      <c r="D34" s="13">
        <v>419</v>
      </c>
      <c r="E34" s="13">
        <v>309</v>
      </c>
      <c r="F34" s="13">
        <v>1521</v>
      </c>
      <c r="G34" s="13">
        <v>924</v>
      </c>
      <c r="H34" s="13">
        <v>299</v>
      </c>
      <c r="J34" s="13">
        <v>2809</v>
      </c>
      <c r="K34" s="13">
        <v>338</v>
      </c>
      <c r="L34" s="13">
        <v>192</v>
      </c>
      <c r="M34" s="13">
        <v>1523</v>
      </c>
      <c r="N34" s="13">
        <v>1612</v>
      </c>
      <c r="O34" s="13">
        <v>318</v>
      </c>
      <c r="Q34" s="3">
        <f t="shared" si="0"/>
        <v>1.41</v>
      </c>
      <c r="R34" s="3">
        <f t="shared" si="1"/>
        <v>8.1000000000000003E-2</v>
      </c>
      <c r="S34" s="3">
        <f t="shared" si="2"/>
        <v>0.11700000000000001</v>
      </c>
      <c r="T34" s="3">
        <f t="shared" si="3"/>
        <v>-0.68799999999999994</v>
      </c>
      <c r="U34" s="3"/>
      <c r="V34" s="3">
        <f t="shared" si="4"/>
        <v>-2E-3</v>
      </c>
      <c r="W34" s="3">
        <f t="shared" si="5"/>
        <v>-1.9E-2</v>
      </c>
      <c r="Y34" s="3">
        <f t="shared" si="6"/>
        <v>0.91999999999999993</v>
      </c>
      <c r="Z34" s="3">
        <f t="shared" si="7"/>
        <v>-2.0999999999999998E-2</v>
      </c>
      <c r="AA34" s="3">
        <f t="shared" si="8"/>
        <v>0.89899999999999991</v>
      </c>
      <c r="AB34" s="3"/>
      <c r="AC34" s="2" t="str">
        <f t="shared" si="10"/>
        <v>1978-10</v>
      </c>
      <c r="AD34" s="9">
        <f t="shared" si="11"/>
        <v>7.0640000000000009</v>
      </c>
      <c r="AE34" s="9">
        <f t="shared" si="12"/>
        <v>3.1250000000000004</v>
      </c>
      <c r="AF34" s="9">
        <f t="shared" si="13"/>
        <v>10.189</v>
      </c>
      <c r="AG34" s="9"/>
      <c r="AH34" s="10">
        <v>28764</v>
      </c>
      <c r="AI34" s="9">
        <f t="shared" si="14"/>
        <v>8.9280000000000008</v>
      </c>
      <c r="AJ34" s="9">
        <f t="shared" si="15"/>
        <v>1.6079999999999999</v>
      </c>
      <c r="AK34" s="9">
        <f t="shared" si="16"/>
        <v>0.99600000000000011</v>
      </c>
      <c r="AL34" s="9">
        <f t="shared" si="17"/>
        <v>-4.468</v>
      </c>
      <c r="AM34" s="12">
        <f t="shared" si="18"/>
        <v>1.2609999999999992</v>
      </c>
    </row>
    <row r="35" spans="1:39" x14ac:dyDescent="0.25">
      <c r="A35">
        <v>99996</v>
      </c>
      <c r="B35" t="s">
        <v>20</v>
      </c>
      <c r="C35" s="13">
        <v>2960</v>
      </c>
      <c r="D35" s="13">
        <v>220</v>
      </c>
      <c r="E35" s="13">
        <v>217</v>
      </c>
      <c r="F35" s="13">
        <v>1461</v>
      </c>
      <c r="G35" s="13">
        <v>856</v>
      </c>
      <c r="H35" s="13">
        <v>360</v>
      </c>
      <c r="J35" s="13">
        <v>2736</v>
      </c>
      <c r="K35" s="13">
        <v>184</v>
      </c>
      <c r="L35" s="13">
        <v>342</v>
      </c>
      <c r="M35" s="13">
        <v>1359</v>
      </c>
      <c r="N35" s="13">
        <v>1318</v>
      </c>
      <c r="O35" s="13">
        <v>197</v>
      </c>
      <c r="Q35" s="3">
        <f t="shared" si="0"/>
        <v>0.224</v>
      </c>
      <c r="R35" s="3">
        <f t="shared" si="1"/>
        <v>3.5999999999999997E-2</v>
      </c>
      <c r="S35" s="3">
        <f t="shared" si="2"/>
        <v>-0.125</v>
      </c>
      <c r="T35" s="3">
        <f t="shared" si="3"/>
        <v>-0.46200000000000002</v>
      </c>
      <c r="U35" s="3"/>
      <c r="V35" s="3">
        <f t="shared" si="4"/>
        <v>0.10199999999999999</v>
      </c>
      <c r="W35" s="3">
        <f t="shared" si="5"/>
        <v>0.16300000000000001</v>
      </c>
      <c r="Y35" s="3">
        <f t="shared" si="6"/>
        <v>-0.32700000000000001</v>
      </c>
      <c r="Z35" s="3">
        <f t="shared" si="7"/>
        <v>0.26500000000000001</v>
      </c>
      <c r="AA35" s="3">
        <f t="shared" si="8"/>
        <v>-6.2000000000000027E-2</v>
      </c>
      <c r="AB35" s="3"/>
      <c r="AC35" s="2" t="str">
        <f t="shared" si="10"/>
        <v>1978-11</v>
      </c>
      <c r="AD35" s="9">
        <f t="shared" si="11"/>
        <v>3.4710000000000005</v>
      </c>
      <c r="AE35" s="9">
        <f t="shared" si="12"/>
        <v>2.9740000000000006</v>
      </c>
      <c r="AF35" s="9">
        <f t="shared" si="13"/>
        <v>6.4450000000000003</v>
      </c>
      <c r="AG35" s="9"/>
      <c r="AH35" s="10">
        <v>28795</v>
      </c>
      <c r="AI35" s="9">
        <f t="shared" si="14"/>
        <v>6.0770000000000008</v>
      </c>
      <c r="AJ35" s="9">
        <f t="shared" si="15"/>
        <v>1.1379999999999999</v>
      </c>
      <c r="AK35" s="9">
        <f t="shared" si="16"/>
        <v>0.8580000000000001</v>
      </c>
      <c r="AL35" s="9">
        <f t="shared" si="17"/>
        <v>-4.6019999999999994</v>
      </c>
      <c r="AM35" s="12">
        <f t="shared" si="18"/>
        <v>0.36799999999999944</v>
      </c>
    </row>
    <row r="36" spans="1:39" x14ac:dyDescent="0.25">
      <c r="A36">
        <v>99996</v>
      </c>
      <c r="B36" t="s">
        <v>21</v>
      </c>
      <c r="C36" s="13">
        <v>1037</v>
      </c>
      <c r="D36" s="13">
        <v>589</v>
      </c>
      <c r="E36" s="13">
        <v>306</v>
      </c>
      <c r="F36" s="13">
        <v>1438</v>
      </c>
      <c r="G36" s="13">
        <v>1015</v>
      </c>
      <c r="H36" s="13">
        <v>232</v>
      </c>
      <c r="J36" s="13">
        <v>1543</v>
      </c>
      <c r="K36" s="13">
        <v>445</v>
      </c>
      <c r="L36" s="13">
        <v>119</v>
      </c>
      <c r="M36" s="13">
        <v>1102</v>
      </c>
      <c r="N36" s="13">
        <v>975</v>
      </c>
      <c r="O36" s="13">
        <v>244</v>
      </c>
      <c r="Q36" s="3">
        <f t="shared" si="0"/>
        <v>-0.50600000000000001</v>
      </c>
      <c r="R36" s="3">
        <f t="shared" si="1"/>
        <v>0.14399999999999999</v>
      </c>
      <c r="S36" s="3">
        <f t="shared" si="2"/>
        <v>0.187</v>
      </c>
      <c r="T36" s="3">
        <f t="shared" si="3"/>
        <v>0.04</v>
      </c>
      <c r="U36" s="3"/>
      <c r="V36" s="3">
        <f t="shared" si="4"/>
        <v>0.33600000000000002</v>
      </c>
      <c r="W36" s="3">
        <f t="shared" si="5"/>
        <v>-1.2E-2</v>
      </c>
      <c r="Y36" s="3">
        <f t="shared" si="6"/>
        <v>-0.13499999999999998</v>
      </c>
      <c r="Z36" s="3">
        <f t="shared" si="7"/>
        <v>0.32400000000000001</v>
      </c>
      <c r="AA36" s="3">
        <f t="shared" si="8"/>
        <v>0.18900000000000003</v>
      </c>
      <c r="AB36" s="3"/>
      <c r="AC36" s="2" t="str">
        <f t="shared" si="10"/>
        <v>1978-12</v>
      </c>
      <c r="AD36" s="9">
        <f t="shared" si="11"/>
        <v>2.7840000000000007</v>
      </c>
      <c r="AE36" s="9">
        <f t="shared" si="12"/>
        <v>2.9490000000000003</v>
      </c>
      <c r="AF36" s="9">
        <f t="shared" si="13"/>
        <v>5.7329999999999997</v>
      </c>
      <c r="AG36" s="9"/>
      <c r="AH36" s="10">
        <v>28825</v>
      </c>
      <c r="AI36" s="9">
        <f t="shared" si="14"/>
        <v>4.7080000000000002</v>
      </c>
      <c r="AJ36" s="9">
        <f t="shared" si="15"/>
        <v>1.2739999999999998</v>
      </c>
      <c r="AK36" s="9">
        <f t="shared" si="16"/>
        <v>1.0250000000000001</v>
      </c>
      <c r="AL36" s="9">
        <f t="shared" si="17"/>
        <v>-4.222999999999999</v>
      </c>
      <c r="AM36" s="12">
        <f t="shared" si="18"/>
        <v>1.0249999999999995</v>
      </c>
    </row>
    <row r="37" spans="1:39" x14ac:dyDescent="0.25">
      <c r="A37">
        <v>99996</v>
      </c>
      <c r="B37" t="s">
        <v>22</v>
      </c>
      <c r="C37" s="13">
        <v>3549</v>
      </c>
      <c r="D37" s="13">
        <v>409</v>
      </c>
      <c r="E37" s="13">
        <v>232</v>
      </c>
      <c r="F37" s="13">
        <v>1368</v>
      </c>
      <c r="G37" s="13">
        <v>856</v>
      </c>
      <c r="H37" s="13">
        <v>303</v>
      </c>
      <c r="J37" s="13">
        <v>3480</v>
      </c>
      <c r="K37" s="13">
        <v>566</v>
      </c>
      <c r="L37" s="13">
        <v>159</v>
      </c>
      <c r="M37" s="13">
        <v>1309</v>
      </c>
      <c r="N37" s="13">
        <v>1378</v>
      </c>
      <c r="O37" s="13">
        <v>255</v>
      </c>
      <c r="Q37" s="3">
        <f t="shared" si="0"/>
        <v>6.9000000000000006E-2</v>
      </c>
      <c r="R37" s="3">
        <f t="shared" si="1"/>
        <v>-0.157</v>
      </c>
      <c r="S37" s="3">
        <f t="shared" si="2"/>
        <v>7.2999999999999995E-2</v>
      </c>
      <c r="T37" s="3">
        <f t="shared" si="3"/>
        <v>-0.52200000000000002</v>
      </c>
      <c r="U37" s="3"/>
      <c r="V37" s="3">
        <f t="shared" si="4"/>
        <v>5.8999999999999997E-2</v>
      </c>
      <c r="W37" s="3">
        <f t="shared" si="5"/>
        <v>4.8000000000000001E-2</v>
      </c>
      <c r="Y37" s="3">
        <f t="shared" si="6"/>
        <v>-0.53700000000000003</v>
      </c>
      <c r="Z37" s="3">
        <f t="shared" si="7"/>
        <v>0.107</v>
      </c>
      <c r="AA37" s="3">
        <f t="shared" si="8"/>
        <v>-0.43000000000000005</v>
      </c>
      <c r="AB37" s="3"/>
      <c r="AC37" s="2" t="str">
        <f t="shared" si="10"/>
        <v>1979-01</v>
      </c>
      <c r="AD37" s="9">
        <f t="shared" si="11"/>
        <v>1.3210000000000002</v>
      </c>
      <c r="AE37" s="9">
        <f t="shared" si="12"/>
        <v>2.8380000000000005</v>
      </c>
      <c r="AF37" s="9">
        <f t="shared" si="13"/>
        <v>4.1589999999999998</v>
      </c>
      <c r="AG37" s="9"/>
      <c r="AH37" s="10">
        <v>28856</v>
      </c>
      <c r="AI37" s="9">
        <f t="shared" si="14"/>
        <v>3.2960000000000003</v>
      </c>
      <c r="AJ37" s="9">
        <f t="shared" si="15"/>
        <v>1.0509999999999999</v>
      </c>
      <c r="AK37" s="9">
        <f t="shared" si="16"/>
        <v>1.083</v>
      </c>
      <c r="AL37" s="9">
        <f t="shared" si="17"/>
        <v>-4.1089999999999991</v>
      </c>
      <c r="AM37" s="12">
        <f t="shared" si="18"/>
        <v>0.86299999999999955</v>
      </c>
    </row>
    <row r="38" spans="1:39" x14ac:dyDescent="0.25">
      <c r="A38">
        <v>99996</v>
      </c>
      <c r="B38" t="s">
        <v>23</v>
      </c>
      <c r="C38" s="13">
        <v>1929</v>
      </c>
      <c r="D38" s="13">
        <v>213</v>
      </c>
      <c r="E38" s="13">
        <v>240</v>
      </c>
      <c r="F38" s="13">
        <v>1397</v>
      </c>
      <c r="G38" s="13">
        <v>956</v>
      </c>
      <c r="H38" s="13">
        <v>232</v>
      </c>
      <c r="J38" s="13">
        <v>2551</v>
      </c>
      <c r="K38" s="13">
        <v>281</v>
      </c>
      <c r="L38" s="13">
        <v>265</v>
      </c>
      <c r="M38" s="13">
        <v>1269</v>
      </c>
      <c r="N38" s="13">
        <v>1321</v>
      </c>
      <c r="O38" s="13">
        <v>260</v>
      </c>
      <c r="Q38" s="3">
        <f t="shared" si="0"/>
        <v>-0.622</v>
      </c>
      <c r="R38" s="3">
        <f t="shared" si="1"/>
        <v>-6.8000000000000005E-2</v>
      </c>
      <c r="S38" s="3">
        <f t="shared" si="2"/>
        <v>-2.5000000000000001E-2</v>
      </c>
      <c r="T38" s="3">
        <f t="shared" si="3"/>
        <v>-0.36499999999999999</v>
      </c>
      <c r="U38" s="3"/>
      <c r="V38" s="3">
        <f t="shared" si="4"/>
        <v>0.128</v>
      </c>
      <c r="W38" s="3">
        <f t="shared" si="5"/>
        <v>-2.8000000000000001E-2</v>
      </c>
      <c r="Y38" s="3">
        <f t="shared" si="6"/>
        <v>-1.08</v>
      </c>
      <c r="Z38" s="3">
        <f t="shared" si="7"/>
        <v>0.1</v>
      </c>
      <c r="AA38" s="3">
        <f t="shared" si="8"/>
        <v>-0.98000000000000009</v>
      </c>
      <c r="AB38" s="3"/>
      <c r="AC38" s="2" t="str">
        <f t="shared" si="10"/>
        <v>1979-02</v>
      </c>
      <c r="AD38" s="9">
        <f t="shared" si="11"/>
        <v>-7.1000000000000174E-2</v>
      </c>
      <c r="AE38" s="9">
        <f t="shared" si="12"/>
        <v>2.7610000000000001</v>
      </c>
      <c r="AF38" s="9">
        <f t="shared" si="13"/>
        <v>2.6900000000000004</v>
      </c>
      <c r="AG38" s="9"/>
      <c r="AH38" s="10">
        <v>28887</v>
      </c>
      <c r="AI38" s="9">
        <f t="shared" si="14"/>
        <v>2.3959999999999999</v>
      </c>
      <c r="AJ38" s="9">
        <f t="shared" si="15"/>
        <v>0.8879999999999999</v>
      </c>
      <c r="AK38" s="9">
        <f t="shared" si="16"/>
        <v>0.92699999999999994</v>
      </c>
      <c r="AL38" s="9">
        <f t="shared" si="17"/>
        <v>-4.282</v>
      </c>
      <c r="AM38" s="12">
        <f t="shared" si="18"/>
        <v>0.29400000000000048</v>
      </c>
    </row>
    <row r="39" spans="1:39" x14ac:dyDescent="0.25">
      <c r="A39">
        <v>99996</v>
      </c>
      <c r="B39" t="s">
        <v>24</v>
      </c>
      <c r="C39" s="13">
        <v>2073</v>
      </c>
      <c r="D39" s="13">
        <v>352</v>
      </c>
      <c r="E39" s="13">
        <v>241</v>
      </c>
      <c r="F39" s="13">
        <v>1958</v>
      </c>
      <c r="G39" s="13">
        <v>1195</v>
      </c>
      <c r="H39" s="13">
        <v>332</v>
      </c>
      <c r="J39" s="13">
        <v>1563</v>
      </c>
      <c r="K39" s="13">
        <v>300</v>
      </c>
      <c r="L39" s="13">
        <v>186</v>
      </c>
      <c r="M39" s="13">
        <v>1448</v>
      </c>
      <c r="N39" s="13">
        <v>1240</v>
      </c>
      <c r="O39" s="13">
        <v>329</v>
      </c>
      <c r="Q39" s="3">
        <f t="shared" si="0"/>
        <v>0.51</v>
      </c>
      <c r="R39" s="3">
        <f t="shared" si="1"/>
        <v>5.1999999999999998E-2</v>
      </c>
      <c r="S39" s="3">
        <f t="shared" si="2"/>
        <v>5.5E-2</v>
      </c>
      <c r="T39" s="3">
        <f t="shared" si="3"/>
        <v>-4.4999999999999998E-2</v>
      </c>
      <c r="U39" s="3"/>
      <c r="V39" s="3">
        <f t="shared" si="4"/>
        <v>0.51</v>
      </c>
      <c r="W39" s="3">
        <f t="shared" si="5"/>
        <v>3.0000000000000001E-3</v>
      </c>
      <c r="Y39" s="3">
        <f t="shared" si="6"/>
        <v>0.57200000000000006</v>
      </c>
      <c r="Z39" s="3">
        <f t="shared" si="7"/>
        <v>0.51300000000000001</v>
      </c>
      <c r="AA39" s="3">
        <f t="shared" si="8"/>
        <v>1.085</v>
      </c>
      <c r="AB39" s="3"/>
      <c r="AC39" s="2" t="str">
        <f t="shared" si="10"/>
        <v>1979-03</v>
      </c>
      <c r="AD39" s="9">
        <f t="shared" si="11"/>
        <v>0.29500000000000048</v>
      </c>
      <c r="AE39" s="9">
        <f t="shared" si="12"/>
        <v>2.6680000000000001</v>
      </c>
      <c r="AF39" s="9">
        <f t="shared" si="13"/>
        <v>2.9630000000000005</v>
      </c>
      <c r="AG39" s="9"/>
      <c r="AH39" s="10">
        <v>28915</v>
      </c>
      <c r="AI39" s="9">
        <f t="shared" si="14"/>
        <v>2.0350000000000001</v>
      </c>
      <c r="AJ39" s="9">
        <f t="shared" si="15"/>
        <v>0.97</v>
      </c>
      <c r="AK39" s="9">
        <f t="shared" si="16"/>
        <v>1</v>
      </c>
      <c r="AL39" s="9">
        <f t="shared" si="17"/>
        <v>-3.71</v>
      </c>
      <c r="AM39" s="12">
        <f t="shared" si="18"/>
        <v>0.92800000000000038</v>
      </c>
    </row>
    <row r="40" spans="1:39" x14ac:dyDescent="0.25">
      <c r="A40">
        <v>99996</v>
      </c>
      <c r="B40" t="s">
        <v>25</v>
      </c>
      <c r="C40" s="13">
        <v>3380</v>
      </c>
      <c r="D40" s="13">
        <v>399</v>
      </c>
      <c r="E40" s="13">
        <v>195</v>
      </c>
      <c r="F40" s="13">
        <v>1621</v>
      </c>
      <c r="G40" s="13">
        <v>903</v>
      </c>
      <c r="H40" s="13">
        <v>369</v>
      </c>
      <c r="J40" s="13">
        <v>2748</v>
      </c>
      <c r="K40" s="13">
        <v>206</v>
      </c>
      <c r="L40" s="13">
        <v>171</v>
      </c>
      <c r="M40" s="13">
        <v>1528</v>
      </c>
      <c r="N40" s="13">
        <v>883</v>
      </c>
      <c r="O40" s="13">
        <v>363</v>
      </c>
      <c r="Q40" s="3">
        <f t="shared" si="0"/>
        <v>0.63200000000000001</v>
      </c>
      <c r="R40" s="3">
        <f t="shared" si="1"/>
        <v>0.193</v>
      </c>
      <c r="S40" s="3">
        <f t="shared" si="2"/>
        <v>2.4E-2</v>
      </c>
      <c r="T40" s="3">
        <f t="shared" si="3"/>
        <v>0.02</v>
      </c>
      <c r="U40" s="3"/>
      <c r="V40" s="3">
        <f t="shared" si="4"/>
        <v>9.2999999999999999E-2</v>
      </c>
      <c r="W40" s="3">
        <f t="shared" si="5"/>
        <v>6.0000000000000001E-3</v>
      </c>
      <c r="Y40" s="3">
        <f t="shared" si="6"/>
        <v>0.86899999999999999</v>
      </c>
      <c r="Z40" s="3">
        <f t="shared" si="7"/>
        <v>9.9000000000000005E-2</v>
      </c>
      <c r="AA40" s="3">
        <f t="shared" si="8"/>
        <v>0.96799999999999997</v>
      </c>
      <c r="AB40" s="3"/>
      <c r="AC40" s="2" t="str">
        <f t="shared" si="10"/>
        <v>1979-04</v>
      </c>
      <c r="AD40" s="9">
        <f t="shared" si="11"/>
        <v>3.2640000000000002</v>
      </c>
      <c r="AE40" s="9">
        <f t="shared" si="12"/>
        <v>1.9080000000000001</v>
      </c>
      <c r="AF40" s="9">
        <f t="shared" si="13"/>
        <v>5.1720000000000006</v>
      </c>
      <c r="AG40" s="9"/>
      <c r="AH40" s="10">
        <v>28946</v>
      </c>
      <c r="AI40" s="9">
        <f t="shared" si="14"/>
        <v>4.2459999999999996</v>
      </c>
      <c r="AJ40" s="9">
        <f t="shared" si="15"/>
        <v>1.161</v>
      </c>
      <c r="AK40" s="9">
        <f t="shared" si="16"/>
        <v>1.0609999999999999</v>
      </c>
      <c r="AL40" s="9">
        <f t="shared" si="17"/>
        <v>-3.2040000000000002</v>
      </c>
      <c r="AM40" s="12">
        <f t="shared" si="18"/>
        <v>0.92600000000000104</v>
      </c>
    </row>
    <row r="41" spans="1:39" x14ac:dyDescent="0.25">
      <c r="A41">
        <v>99996</v>
      </c>
      <c r="B41" t="s">
        <v>26</v>
      </c>
      <c r="C41" s="13">
        <v>2342</v>
      </c>
      <c r="D41" s="13">
        <v>488</v>
      </c>
      <c r="E41" s="13">
        <v>376</v>
      </c>
      <c r="F41" s="13">
        <v>1573</v>
      </c>
      <c r="G41" s="13">
        <v>841</v>
      </c>
      <c r="H41" s="13">
        <v>555</v>
      </c>
      <c r="J41" s="13">
        <v>3266</v>
      </c>
      <c r="K41" s="13">
        <v>677</v>
      </c>
      <c r="L41" s="13">
        <v>246</v>
      </c>
      <c r="M41" s="13">
        <v>1394</v>
      </c>
      <c r="N41" s="13">
        <v>826</v>
      </c>
      <c r="O41" s="13">
        <v>493</v>
      </c>
      <c r="Q41" s="3">
        <f t="shared" si="0"/>
        <v>-0.92400000000000004</v>
      </c>
      <c r="R41" s="3">
        <f t="shared" si="1"/>
        <v>-0.189</v>
      </c>
      <c r="S41" s="3">
        <f t="shared" si="2"/>
        <v>0.13</v>
      </c>
      <c r="T41" s="3">
        <f t="shared" si="3"/>
        <v>1.4999999999999999E-2</v>
      </c>
      <c r="U41" s="3"/>
      <c r="V41" s="3">
        <f t="shared" si="4"/>
        <v>0.17899999999999999</v>
      </c>
      <c r="W41" s="3">
        <f t="shared" si="5"/>
        <v>6.2E-2</v>
      </c>
      <c r="Y41" s="3">
        <f t="shared" si="6"/>
        <v>-0.96799999999999997</v>
      </c>
      <c r="Z41" s="3">
        <f t="shared" si="7"/>
        <v>0.24099999999999999</v>
      </c>
      <c r="AA41" s="3">
        <f t="shared" si="8"/>
        <v>-0.72699999999999987</v>
      </c>
      <c r="AB41" s="3"/>
      <c r="AC41" s="2" t="str">
        <f t="shared" si="10"/>
        <v>1979-05</v>
      </c>
      <c r="AD41" s="9">
        <f t="shared" si="11"/>
        <v>2.2190000000000003</v>
      </c>
      <c r="AE41" s="9">
        <f t="shared" si="12"/>
        <v>1.7330000000000001</v>
      </c>
      <c r="AF41" s="9">
        <f t="shared" si="13"/>
        <v>3.9519999999999995</v>
      </c>
      <c r="AG41" s="9"/>
      <c r="AH41" s="10">
        <v>28976</v>
      </c>
      <c r="AI41" s="9">
        <f t="shared" si="14"/>
        <v>3.6179999999999999</v>
      </c>
      <c r="AJ41" s="9">
        <f t="shared" si="15"/>
        <v>0.877</v>
      </c>
      <c r="AK41" s="9">
        <f t="shared" si="16"/>
        <v>0.87</v>
      </c>
      <c r="AL41" s="9">
        <f t="shared" si="17"/>
        <v>-3.1459999999999999</v>
      </c>
      <c r="AM41" s="12">
        <f t="shared" si="18"/>
        <v>0.33399999999999963</v>
      </c>
    </row>
    <row r="42" spans="1:39" x14ac:dyDescent="0.25">
      <c r="A42">
        <v>99996</v>
      </c>
      <c r="B42" t="s">
        <v>27</v>
      </c>
      <c r="C42" s="13">
        <v>2211</v>
      </c>
      <c r="D42" s="13">
        <v>739</v>
      </c>
      <c r="E42" s="13">
        <v>383</v>
      </c>
      <c r="F42" s="13">
        <v>1872</v>
      </c>
      <c r="G42" s="13">
        <v>955</v>
      </c>
      <c r="H42" s="13">
        <v>402</v>
      </c>
      <c r="J42" s="13">
        <v>1891</v>
      </c>
      <c r="K42" s="13">
        <v>557</v>
      </c>
      <c r="L42" s="13">
        <v>261</v>
      </c>
      <c r="M42" s="13">
        <v>1788</v>
      </c>
      <c r="N42" s="13">
        <v>1531</v>
      </c>
      <c r="O42" s="13">
        <v>421</v>
      </c>
      <c r="Q42" s="3">
        <f t="shared" si="0"/>
        <v>0.32</v>
      </c>
      <c r="R42" s="3">
        <f t="shared" si="1"/>
        <v>0.182</v>
      </c>
      <c r="S42" s="3">
        <f t="shared" si="2"/>
        <v>0.122</v>
      </c>
      <c r="T42" s="3">
        <f t="shared" si="3"/>
        <v>-0.57599999999999996</v>
      </c>
      <c r="U42" s="3"/>
      <c r="V42" s="3">
        <f t="shared" si="4"/>
        <v>8.4000000000000005E-2</v>
      </c>
      <c r="W42" s="3">
        <f t="shared" si="5"/>
        <v>-1.9E-2</v>
      </c>
      <c r="Y42" s="3">
        <f t="shared" si="6"/>
        <v>4.8000000000000043E-2</v>
      </c>
      <c r="Z42" s="3">
        <f t="shared" si="7"/>
        <v>6.5000000000000002E-2</v>
      </c>
      <c r="AA42" s="3">
        <f t="shared" si="8"/>
        <v>0.11300000000000006</v>
      </c>
      <c r="AB42" s="3"/>
      <c r="AC42" s="2" t="str">
        <f t="shared" si="10"/>
        <v>1979-06</v>
      </c>
      <c r="AD42" s="9">
        <f t="shared" si="11"/>
        <v>1.2720000000000002</v>
      </c>
      <c r="AE42" s="9">
        <f t="shared" si="12"/>
        <v>1.7029999999999998</v>
      </c>
      <c r="AF42" s="9">
        <f t="shared" si="13"/>
        <v>2.9750000000000001</v>
      </c>
      <c r="AG42" s="9"/>
      <c r="AH42" s="10">
        <v>29007</v>
      </c>
      <c r="AI42" s="9">
        <f t="shared" si="14"/>
        <v>2.6679999999999997</v>
      </c>
      <c r="AJ42" s="9">
        <f t="shared" si="15"/>
        <v>0.83099999999999996</v>
      </c>
      <c r="AK42" s="9">
        <f t="shared" si="16"/>
        <v>0.85899999999999999</v>
      </c>
      <c r="AL42" s="9">
        <f t="shared" si="17"/>
        <v>-3.0859999999999999</v>
      </c>
      <c r="AM42" s="12">
        <f t="shared" si="18"/>
        <v>0.30700000000000038</v>
      </c>
    </row>
    <row r="43" spans="1:39" x14ac:dyDescent="0.25">
      <c r="A43">
        <v>99996</v>
      </c>
      <c r="B43" t="s">
        <v>28</v>
      </c>
      <c r="C43" s="13">
        <v>5099</v>
      </c>
      <c r="D43" s="13">
        <v>649</v>
      </c>
      <c r="E43" s="13">
        <v>220</v>
      </c>
      <c r="F43" s="13">
        <v>1790</v>
      </c>
      <c r="G43" s="13">
        <v>1020</v>
      </c>
      <c r="H43" s="13">
        <v>391</v>
      </c>
      <c r="J43" s="13">
        <v>3549</v>
      </c>
      <c r="K43" s="13">
        <v>402</v>
      </c>
      <c r="L43" s="13">
        <v>234</v>
      </c>
      <c r="M43" s="13">
        <v>1775</v>
      </c>
      <c r="N43" s="13">
        <v>1440</v>
      </c>
      <c r="O43" s="13">
        <v>404</v>
      </c>
      <c r="Q43" s="3">
        <f t="shared" si="0"/>
        <v>1.55</v>
      </c>
      <c r="R43" s="3">
        <f t="shared" si="1"/>
        <v>0.247</v>
      </c>
      <c r="S43" s="3">
        <f t="shared" si="2"/>
        <v>-1.4E-2</v>
      </c>
      <c r="T43" s="3">
        <f t="shared" si="3"/>
        <v>-0.42</v>
      </c>
      <c r="U43" s="3"/>
      <c r="V43" s="3">
        <f t="shared" si="4"/>
        <v>1.4999999999999999E-2</v>
      </c>
      <c r="W43" s="3">
        <f t="shared" si="5"/>
        <v>-1.2999999999999999E-2</v>
      </c>
      <c r="Y43" s="3">
        <f t="shared" si="6"/>
        <v>1.3630000000000002</v>
      </c>
      <c r="Z43" s="3">
        <f t="shared" si="7"/>
        <v>2E-3</v>
      </c>
      <c r="AA43" s="3">
        <f t="shared" si="8"/>
        <v>1.3650000000000002</v>
      </c>
      <c r="AB43" s="3"/>
      <c r="AC43" s="2" t="str">
        <f t="shared" si="10"/>
        <v>1979-07</v>
      </c>
      <c r="AD43" s="9">
        <f t="shared" si="11"/>
        <v>2.0690000000000004</v>
      </c>
      <c r="AE43" s="9">
        <f t="shared" si="12"/>
        <v>1.6859999999999997</v>
      </c>
      <c r="AF43" s="9">
        <f t="shared" si="13"/>
        <v>3.7550000000000003</v>
      </c>
      <c r="AG43" s="9"/>
      <c r="AH43" s="10">
        <v>29037</v>
      </c>
      <c r="AI43" s="9">
        <f t="shared" si="14"/>
        <v>3.7279999999999998</v>
      </c>
      <c r="AJ43" s="9">
        <f t="shared" si="15"/>
        <v>0.66</v>
      </c>
      <c r="AK43" s="9">
        <f t="shared" si="16"/>
        <v>0.84399999999999997</v>
      </c>
      <c r="AL43" s="9">
        <f t="shared" si="17"/>
        <v>-3.1629999999999998</v>
      </c>
      <c r="AM43" s="12">
        <f t="shared" si="18"/>
        <v>2.7000000000000579E-2</v>
      </c>
    </row>
    <row r="44" spans="1:39" x14ac:dyDescent="0.25">
      <c r="A44">
        <v>99996</v>
      </c>
      <c r="B44" t="s">
        <v>29</v>
      </c>
      <c r="C44" s="13">
        <v>4810</v>
      </c>
      <c r="D44" s="13">
        <v>504</v>
      </c>
      <c r="E44" s="13">
        <v>226</v>
      </c>
      <c r="F44" s="13">
        <v>2393</v>
      </c>
      <c r="G44" s="13">
        <v>1611</v>
      </c>
      <c r="H44" s="13">
        <v>377</v>
      </c>
      <c r="J44" s="13">
        <v>4216</v>
      </c>
      <c r="K44" s="13">
        <v>409</v>
      </c>
      <c r="L44" s="13">
        <v>270</v>
      </c>
      <c r="M44" s="13">
        <v>2235</v>
      </c>
      <c r="N44" s="13">
        <v>2219</v>
      </c>
      <c r="O44" s="13">
        <v>499</v>
      </c>
      <c r="Q44" s="3">
        <f t="shared" si="0"/>
        <v>0.59399999999999997</v>
      </c>
      <c r="R44" s="3">
        <f t="shared" si="1"/>
        <v>9.5000000000000001E-2</v>
      </c>
      <c r="S44" s="3">
        <f t="shared" si="2"/>
        <v>-4.3999999999999997E-2</v>
      </c>
      <c r="T44" s="3">
        <f t="shared" si="3"/>
        <v>-0.60799999999999998</v>
      </c>
      <c r="U44" s="3"/>
      <c r="V44" s="3">
        <f t="shared" si="4"/>
        <v>0.158</v>
      </c>
      <c r="W44" s="3">
        <f t="shared" si="5"/>
        <v>-0.122</v>
      </c>
      <c r="Y44" s="3">
        <f t="shared" si="6"/>
        <v>3.6999999999999922E-2</v>
      </c>
      <c r="Z44" s="3">
        <f t="shared" si="7"/>
        <v>3.6000000000000004E-2</v>
      </c>
      <c r="AA44" s="3">
        <f t="shared" si="8"/>
        <v>7.2999999999999926E-2</v>
      </c>
      <c r="AB44" s="3"/>
      <c r="AC44" s="2" t="str">
        <f t="shared" si="10"/>
        <v>1979-08</v>
      </c>
      <c r="AD44" s="9">
        <f t="shared" si="11"/>
        <v>1.5000000000000002</v>
      </c>
      <c r="AE44" s="9">
        <f t="shared" si="12"/>
        <v>1.9040000000000001</v>
      </c>
      <c r="AF44" s="9">
        <f t="shared" si="13"/>
        <v>3.4040000000000004</v>
      </c>
      <c r="AG44" s="9"/>
      <c r="AH44" s="10">
        <v>29068</v>
      </c>
      <c r="AI44" s="9">
        <f t="shared" si="14"/>
        <v>3.8959999999999999</v>
      </c>
      <c r="AJ44" s="9">
        <f t="shared" si="15"/>
        <v>0.623</v>
      </c>
      <c r="AK44" s="9">
        <f t="shared" si="16"/>
        <v>0.55299999999999994</v>
      </c>
      <c r="AL44" s="9">
        <f t="shared" si="17"/>
        <v>-3.5720000000000001</v>
      </c>
      <c r="AM44" s="12">
        <f t="shared" si="18"/>
        <v>-0.49199999999999955</v>
      </c>
    </row>
    <row r="45" spans="1:39" x14ac:dyDescent="0.25">
      <c r="A45">
        <v>99996</v>
      </c>
      <c r="B45" t="s">
        <v>30</v>
      </c>
      <c r="C45" s="13">
        <v>2632</v>
      </c>
      <c r="D45" s="13">
        <v>233</v>
      </c>
      <c r="E45" s="13">
        <v>215</v>
      </c>
      <c r="F45" s="13">
        <v>2090</v>
      </c>
      <c r="G45" s="13">
        <v>850</v>
      </c>
      <c r="H45" s="13">
        <v>420</v>
      </c>
      <c r="J45" s="13">
        <v>1977</v>
      </c>
      <c r="K45" s="13">
        <v>143</v>
      </c>
      <c r="L45" s="13">
        <v>148</v>
      </c>
      <c r="M45" s="13">
        <v>2030</v>
      </c>
      <c r="N45" s="13">
        <v>1634</v>
      </c>
      <c r="O45" s="13">
        <v>760</v>
      </c>
      <c r="Q45" s="3">
        <f t="shared" si="0"/>
        <v>0.65500000000000003</v>
      </c>
      <c r="R45" s="3">
        <f t="shared" si="1"/>
        <v>0.09</v>
      </c>
      <c r="S45" s="3">
        <f t="shared" si="2"/>
        <v>6.7000000000000004E-2</v>
      </c>
      <c r="T45" s="3">
        <f t="shared" si="3"/>
        <v>-0.78400000000000003</v>
      </c>
      <c r="U45" s="3"/>
      <c r="V45" s="3">
        <f t="shared" si="4"/>
        <v>0.06</v>
      </c>
      <c r="W45" s="3">
        <f t="shared" si="5"/>
        <v>-0.34</v>
      </c>
      <c r="Y45" s="3">
        <f t="shared" si="6"/>
        <v>2.8000000000000025E-2</v>
      </c>
      <c r="Z45" s="3">
        <f t="shared" si="7"/>
        <v>-0.28000000000000003</v>
      </c>
      <c r="AA45" s="3">
        <f t="shared" si="8"/>
        <v>-0.252</v>
      </c>
      <c r="AB45" s="3"/>
      <c r="AC45" s="2" t="str">
        <f t="shared" si="10"/>
        <v>1979-09</v>
      </c>
      <c r="AD45" s="9">
        <f t="shared" si="11"/>
        <v>0.79</v>
      </c>
      <c r="AE45" s="9">
        <f t="shared" si="12"/>
        <v>1.4510000000000001</v>
      </c>
      <c r="AF45" s="9">
        <f t="shared" si="13"/>
        <v>2.2409999999999997</v>
      </c>
      <c r="AG45" s="9"/>
      <c r="AH45" s="10">
        <v>29099</v>
      </c>
      <c r="AI45" s="9">
        <f t="shared" si="14"/>
        <v>3.9119999999999999</v>
      </c>
      <c r="AJ45" s="9">
        <f t="shared" si="15"/>
        <v>0.70599999999999996</v>
      </c>
      <c r="AK45" s="9">
        <f t="shared" si="16"/>
        <v>0.56699999999999995</v>
      </c>
      <c r="AL45" s="9">
        <f t="shared" si="17"/>
        <v>-4.3949999999999996</v>
      </c>
      <c r="AM45" s="12">
        <f t="shared" si="18"/>
        <v>-1.6710000000000003</v>
      </c>
    </row>
    <row r="46" spans="1:39" x14ac:dyDescent="0.25">
      <c r="A46">
        <v>99996</v>
      </c>
      <c r="B46" t="s">
        <v>31</v>
      </c>
      <c r="C46" s="13">
        <v>5270</v>
      </c>
      <c r="D46" s="13">
        <v>620</v>
      </c>
      <c r="E46" s="13">
        <v>249</v>
      </c>
      <c r="F46" s="13">
        <v>2442</v>
      </c>
      <c r="G46" s="13">
        <v>1234</v>
      </c>
      <c r="H46" s="13">
        <v>467</v>
      </c>
      <c r="J46" s="13">
        <v>4638</v>
      </c>
      <c r="K46" s="13">
        <v>430</v>
      </c>
      <c r="L46" s="13">
        <v>214</v>
      </c>
      <c r="M46" s="13">
        <v>2411</v>
      </c>
      <c r="N46" s="13">
        <v>1278</v>
      </c>
      <c r="O46" s="13">
        <v>665</v>
      </c>
      <c r="Q46" s="3">
        <f t="shared" si="0"/>
        <v>0.63200000000000001</v>
      </c>
      <c r="R46" s="3">
        <f t="shared" si="1"/>
        <v>0.19</v>
      </c>
      <c r="S46" s="3">
        <f t="shared" si="2"/>
        <v>3.5000000000000003E-2</v>
      </c>
      <c r="T46" s="3">
        <f t="shared" si="3"/>
        <v>-4.3999999999999997E-2</v>
      </c>
      <c r="U46" s="3"/>
      <c r="V46" s="3">
        <f t="shared" si="4"/>
        <v>3.1E-2</v>
      </c>
      <c r="W46" s="3">
        <f t="shared" si="5"/>
        <v>-0.19800000000000001</v>
      </c>
      <c r="Y46" s="3">
        <f t="shared" si="6"/>
        <v>0.81300000000000006</v>
      </c>
      <c r="Z46" s="3">
        <f t="shared" si="7"/>
        <v>-0.16700000000000001</v>
      </c>
      <c r="AA46" s="3">
        <f t="shared" si="8"/>
        <v>0.64600000000000013</v>
      </c>
      <c r="AB46" s="3"/>
      <c r="AC46" s="2" t="str">
        <f t="shared" si="10"/>
        <v>1979-10</v>
      </c>
      <c r="AD46" s="9">
        <f t="shared" si="11"/>
        <v>0.68300000000000016</v>
      </c>
      <c r="AE46" s="9">
        <f t="shared" si="12"/>
        <v>1.3049999999999999</v>
      </c>
      <c r="AF46" s="9">
        <f t="shared" si="13"/>
        <v>1.9880000000000002</v>
      </c>
      <c r="AG46" s="9"/>
      <c r="AH46" s="10">
        <v>29129</v>
      </c>
      <c r="AI46" s="9">
        <f t="shared" si="14"/>
        <v>3.1339999999999999</v>
      </c>
      <c r="AJ46" s="9">
        <f t="shared" si="15"/>
        <v>0.81499999999999995</v>
      </c>
      <c r="AK46" s="9">
        <f t="shared" si="16"/>
        <v>0.48499999999999999</v>
      </c>
      <c r="AL46" s="9">
        <f t="shared" si="17"/>
        <v>-3.7509999999999999</v>
      </c>
      <c r="AM46" s="12">
        <f t="shared" si="18"/>
        <v>-1.1459999999999997</v>
      </c>
    </row>
    <row r="47" spans="1:39" x14ac:dyDescent="0.25">
      <c r="A47">
        <v>99996</v>
      </c>
      <c r="B47" t="s">
        <v>32</v>
      </c>
      <c r="C47" s="13">
        <v>3299</v>
      </c>
      <c r="D47" s="13">
        <v>549</v>
      </c>
      <c r="E47" s="13">
        <v>176</v>
      </c>
      <c r="F47" s="13">
        <v>1889</v>
      </c>
      <c r="G47" s="13">
        <v>1094</v>
      </c>
      <c r="H47" s="13">
        <v>365</v>
      </c>
      <c r="J47" s="13">
        <v>4395</v>
      </c>
      <c r="K47" s="13">
        <v>654</v>
      </c>
      <c r="L47" s="13">
        <v>259</v>
      </c>
      <c r="M47" s="13">
        <v>1700</v>
      </c>
      <c r="N47" s="13">
        <v>1438</v>
      </c>
      <c r="O47" s="13">
        <v>449</v>
      </c>
      <c r="Q47" s="3">
        <f t="shared" si="0"/>
        <v>-1.0960000000000001</v>
      </c>
      <c r="R47" s="3">
        <f t="shared" si="1"/>
        <v>-0.105</v>
      </c>
      <c r="S47" s="3">
        <f t="shared" si="2"/>
        <v>-8.3000000000000004E-2</v>
      </c>
      <c r="T47" s="3">
        <f t="shared" si="3"/>
        <v>-0.34399999999999997</v>
      </c>
      <c r="U47" s="3"/>
      <c r="V47" s="3">
        <f t="shared" si="4"/>
        <v>0.189</v>
      </c>
      <c r="W47" s="3">
        <f t="shared" si="5"/>
        <v>-8.4000000000000005E-2</v>
      </c>
      <c r="Y47" s="3">
        <f t="shared" si="6"/>
        <v>-1.6280000000000001</v>
      </c>
      <c r="Z47" s="3">
        <f t="shared" si="7"/>
        <v>0.105</v>
      </c>
      <c r="AA47" s="3">
        <f t="shared" si="8"/>
        <v>-1.5230000000000001</v>
      </c>
      <c r="AB47" s="3"/>
      <c r="AC47" s="2" t="str">
        <f t="shared" si="10"/>
        <v>1979-11</v>
      </c>
      <c r="AD47" s="9">
        <f t="shared" si="11"/>
        <v>-0.61799999999999988</v>
      </c>
      <c r="AE47" s="9">
        <f t="shared" si="12"/>
        <v>1.1449999999999998</v>
      </c>
      <c r="AF47" s="9">
        <f t="shared" si="13"/>
        <v>0.52700000000000014</v>
      </c>
      <c r="AG47" s="9"/>
      <c r="AH47" s="10">
        <v>29160</v>
      </c>
      <c r="AI47" s="9">
        <f t="shared" si="14"/>
        <v>1.8140000000000005</v>
      </c>
      <c r="AJ47" s="9">
        <f t="shared" si="15"/>
        <v>0.67399999999999993</v>
      </c>
      <c r="AK47" s="9">
        <f t="shared" si="16"/>
        <v>0.52700000000000002</v>
      </c>
      <c r="AL47" s="9">
        <f t="shared" si="17"/>
        <v>-3.633</v>
      </c>
      <c r="AM47" s="12">
        <f t="shared" si="18"/>
        <v>-1.2870000000000004</v>
      </c>
    </row>
    <row r="48" spans="1:39" x14ac:dyDescent="0.25">
      <c r="A48">
        <v>99996</v>
      </c>
      <c r="B48" t="s">
        <v>33</v>
      </c>
      <c r="C48" s="13">
        <v>4673</v>
      </c>
      <c r="D48" s="13">
        <v>365</v>
      </c>
      <c r="E48" s="13">
        <v>598</v>
      </c>
      <c r="F48" s="13">
        <v>2389</v>
      </c>
      <c r="G48" s="13">
        <v>1147</v>
      </c>
      <c r="H48" s="13">
        <v>406</v>
      </c>
      <c r="J48" s="13">
        <v>4129</v>
      </c>
      <c r="K48" s="13">
        <v>350</v>
      </c>
      <c r="L48" s="13">
        <v>345</v>
      </c>
      <c r="M48" s="13">
        <v>2216</v>
      </c>
      <c r="N48" s="13">
        <v>1472</v>
      </c>
      <c r="O48" s="13">
        <v>537</v>
      </c>
      <c r="Q48" s="3">
        <f t="shared" si="0"/>
        <v>0.54400000000000004</v>
      </c>
      <c r="R48" s="3">
        <f t="shared" si="1"/>
        <v>1.4999999999999999E-2</v>
      </c>
      <c r="S48" s="3">
        <f t="shared" si="2"/>
        <v>0.253</v>
      </c>
      <c r="T48" s="3">
        <f t="shared" si="3"/>
        <v>-0.32500000000000001</v>
      </c>
      <c r="U48" s="3"/>
      <c r="V48" s="3">
        <f t="shared" si="4"/>
        <v>0.17299999999999999</v>
      </c>
      <c r="W48" s="3">
        <f t="shared" si="5"/>
        <v>-0.13100000000000001</v>
      </c>
      <c r="Y48" s="3">
        <f t="shared" si="6"/>
        <v>0.48700000000000004</v>
      </c>
      <c r="Z48" s="3">
        <f t="shared" si="7"/>
        <v>4.1999999999999982E-2</v>
      </c>
      <c r="AA48" s="3">
        <f t="shared" si="8"/>
        <v>0.52900000000000003</v>
      </c>
      <c r="AB48" s="3"/>
      <c r="AC48" s="2" t="str">
        <f t="shared" si="10"/>
        <v>1979-12</v>
      </c>
      <c r="AD48" s="9">
        <f t="shared" si="11"/>
        <v>4.0000000000003921E-3</v>
      </c>
      <c r="AE48" s="9">
        <f t="shared" si="12"/>
        <v>0.86299999999999999</v>
      </c>
      <c r="AF48" s="9">
        <f t="shared" si="13"/>
        <v>0.8670000000000001</v>
      </c>
      <c r="AG48" s="9"/>
      <c r="AH48" s="10">
        <v>29190</v>
      </c>
      <c r="AI48" s="9">
        <f t="shared" si="14"/>
        <v>2.8639999999999999</v>
      </c>
      <c r="AJ48" s="9">
        <f t="shared" si="15"/>
        <v>0.54500000000000004</v>
      </c>
      <c r="AK48" s="9">
        <f t="shared" si="16"/>
        <v>0.59299999999999997</v>
      </c>
      <c r="AL48" s="9">
        <f t="shared" si="17"/>
        <v>-3.9980000000000002</v>
      </c>
      <c r="AM48" s="12">
        <f t="shared" si="18"/>
        <v>-1.9969999999999999</v>
      </c>
    </row>
    <row r="49" spans="1:39" x14ac:dyDescent="0.25">
      <c r="A49">
        <v>99996</v>
      </c>
      <c r="B49" t="s">
        <v>34</v>
      </c>
      <c r="C49" s="13">
        <v>3826</v>
      </c>
      <c r="D49" s="13">
        <v>879</v>
      </c>
      <c r="E49" s="13">
        <v>311</v>
      </c>
      <c r="F49" s="13">
        <v>3158</v>
      </c>
      <c r="G49" s="13">
        <v>1283</v>
      </c>
      <c r="H49" s="13">
        <v>635</v>
      </c>
      <c r="J49" s="13">
        <v>2433</v>
      </c>
      <c r="K49" s="13">
        <v>337</v>
      </c>
      <c r="L49" s="13">
        <v>211</v>
      </c>
      <c r="M49" s="13">
        <v>2470</v>
      </c>
      <c r="N49" s="13">
        <v>1333</v>
      </c>
      <c r="O49" s="13">
        <v>872</v>
      </c>
      <c r="Q49" s="3">
        <f t="shared" si="0"/>
        <v>1.393</v>
      </c>
      <c r="R49" s="3">
        <f t="shared" si="1"/>
        <v>0.54200000000000004</v>
      </c>
      <c r="S49" s="3">
        <f t="shared" si="2"/>
        <v>0.1</v>
      </c>
      <c r="T49" s="3">
        <f t="shared" si="3"/>
        <v>-0.05</v>
      </c>
      <c r="U49" s="3"/>
      <c r="V49" s="3">
        <f t="shared" si="4"/>
        <v>0.68799999999999994</v>
      </c>
      <c r="W49" s="3">
        <f t="shared" si="5"/>
        <v>-0.23699999999999999</v>
      </c>
      <c r="Y49" s="3">
        <f t="shared" si="6"/>
        <v>1.9850000000000001</v>
      </c>
      <c r="Z49" s="3">
        <f t="shared" si="7"/>
        <v>0.45099999999999996</v>
      </c>
      <c r="AA49" s="3">
        <f t="shared" si="8"/>
        <v>2.4359999999999999</v>
      </c>
      <c r="AB49" s="3"/>
      <c r="AC49" s="2" t="str">
        <f t="shared" si="10"/>
        <v>1980-01</v>
      </c>
      <c r="AD49" s="9">
        <f t="shared" si="11"/>
        <v>2.5260000000000007</v>
      </c>
      <c r="AE49" s="9">
        <f t="shared" si="12"/>
        <v>1.2069999999999999</v>
      </c>
      <c r="AF49" s="9">
        <f t="shared" si="13"/>
        <v>3.7330000000000001</v>
      </c>
      <c r="AG49" s="9"/>
      <c r="AH49" s="10">
        <v>29221</v>
      </c>
      <c r="AI49" s="9">
        <f t="shared" si="14"/>
        <v>4.1879999999999997</v>
      </c>
      <c r="AJ49" s="9">
        <f t="shared" si="15"/>
        <v>1.2440000000000002</v>
      </c>
      <c r="AK49" s="9">
        <f t="shared" si="16"/>
        <v>0.62</v>
      </c>
      <c r="AL49" s="9">
        <f t="shared" si="17"/>
        <v>-3.5259999999999998</v>
      </c>
      <c r="AM49" s="12">
        <f t="shared" si="18"/>
        <v>-0.45499999999999963</v>
      </c>
    </row>
    <row r="50" spans="1:39" x14ac:dyDescent="0.25">
      <c r="A50">
        <v>99996</v>
      </c>
      <c r="B50" t="s">
        <v>35</v>
      </c>
      <c r="C50" s="13">
        <v>3543</v>
      </c>
      <c r="D50" s="13">
        <v>616</v>
      </c>
      <c r="E50" s="13">
        <v>337</v>
      </c>
      <c r="F50" s="13">
        <v>4482</v>
      </c>
      <c r="G50" s="13">
        <v>1382</v>
      </c>
      <c r="H50" s="13">
        <v>819</v>
      </c>
      <c r="J50" s="13">
        <v>3200</v>
      </c>
      <c r="K50" s="13">
        <v>449</v>
      </c>
      <c r="L50" s="13">
        <v>151</v>
      </c>
      <c r="M50" s="13">
        <v>3368</v>
      </c>
      <c r="N50" s="13">
        <v>1453</v>
      </c>
      <c r="O50" s="13">
        <v>1254</v>
      </c>
      <c r="Q50" s="3">
        <f t="shared" si="0"/>
        <v>0.34300000000000003</v>
      </c>
      <c r="R50" s="3">
        <f t="shared" si="1"/>
        <v>0.16700000000000001</v>
      </c>
      <c r="S50" s="3">
        <f t="shared" si="2"/>
        <v>0.186</v>
      </c>
      <c r="T50" s="3">
        <f t="shared" si="3"/>
        <v>-7.0999999999999994E-2</v>
      </c>
      <c r="U50" s="3"/>
      <c r="V50" s="3">
        <f t="shared" si="4"/>
        <v>1.1140000000000001</v>
      </c>
      <c r="W50" s="3">
        <f t="shared" si="5"/>
        <v>-0.435</v>
      </c>
      <c r="Y50" s="3">
        <f t="shared" si="6"/>
        <v>0.625</v>
      </c>
      <c r="Z50" s="3">
        <f t="shared" si="7"/>
        <v>0.67900000000000005</v>
      </c>
      <c r="AA50" s="3">
        <f t="shared" si="8"/>
        <v>1.304</v>
      </c>
      <c r="AB50" s="3"/>
      <c r="AC50" s="2" t="str">
        <f t="shared" si="10"/>
        <v>1980-02</v>
      </c>
      <c r="AD50" s="9">
        <f t="shared" si="11"/>
        <v>4.2310000000000008</v>
      </c>
      <c r="AE50" s="9">
        <f t="shared" si="12"/>
        <v>1.7859999999999998</v>
      </c>
      <c r="AF50" s="9">
        <f t="shared" si="13"/>
        <v>6.0169999999999995</v>
      </c>
      <c r="AG50" s="9"/>
      <c r="AH50" s="10">
        <v>29252</v>
      </c>
      <c r="AI50" s="9">
        <f t="shared" si="14"/>
        <v>5.1529999999999996</v>
      </c>
      <c r="AJ50" s="9">
        <f t="shared" si="15"/>
        <v>1.4789999999999999</v>
      </c>
      <c r="AK50" s="9">
        <f t="shared" si="16"/>
        <v>0.83099999999999996</v>
      </c>
      <c r="AL50" s="9">
        <f t="shared" si="17"/>
        <v>-3.2319999999999998</v>
      </c>
      <c r="AM50" s="12">
        <f t="shared" si="18"/>
        <v>0.86399999999999988</v>
      </c>
    </row>
    <row r="51" spans="1:39" x14ac:dyDescent="0.25">
      <c r="A51">
        <v>99996</v>
      </c>
      <c r="B51" t="s">
        <v>36</v>
      </c>
      <c r="C51" s="13">
        <v>3746</v>
      </c>
      <c r="D51" s="13">
        <v>1062</v>
      </c>
      <c r="E51" s="13">
        <v>216</v>
      </c>
      <c r="F51" s="13">
        <v>2745</v>
      </c>
      <c r="G51" s="13">
        <v>1186</v>
      </c>
      <c r="H51" s="13">
        <v>680</v>
      </c>
      <c r="J51" s="13">
        <v>3977</v>
      </c>
      <c r="K51" s="13">
        <v>619</v>
      </c>
      <c r="L51" s="13">
        <v>220</v>
      </c>
      <c r="M51" s="13">
        <v>2382</v>
      </c>
      <c r="N51" s="13">
        <v>1165</v>
      </c>
      <c r="O51" s="13">
        <v>678</v>
      </c>
      <c r="Q51" s="3">
        <f t="shared" si="0"/>
        <v>-0.23100000000000001</v>
      </c>
      <c r="R51" s="3">
        <f t="shared" si="1"/>
        <v>0.443</v>
      </c>
      <c r="S51" s="3">
        <f t="shared" si="2"/>
        <v>-4.0000000000000001E-3</v>
      </c>
      <c r="T51" s="3">
        <f t="shared" si="3"/>
        <v>2.1000000000000001E-2</v>
      </c>
      <c r="U51" s="3"/>
      <c r="V51" s="3">
        <f t="shared" si="4"/>
        <v>0.36299999999999999</v>
      </c>
      <c r="W51" s="3">
        <f t="shared" si="5"/>
        <v>2E-3</v>
      </c>
      <c r="Y51" s="3">
        <f t="shared" si="6"/>
        <v>0.22899999999999998</v>
      </c>
      <c r="Z51" s="3">
        <f t="shared" si="7"/>
        <v>0.36499999999999999</v>
      </c>
      <c r="AA51" s="3">
        <f t="shared" si="8"/>
        <v>0.59399999999999997</v>
      </c>
      <c r="AB51" s="3"/>
      <c r="AC51" s="2" t="str">
        <f t="shared" si="10"/>
        <v>1980-03</v>
      </c>
      <c r="AD51" s="9">
        <f t="shared" si="11"/>
        <v>3.8880000000000008</v>
      </c>
      <c r="AE51" s="9">
        <f t="shared" si="12"/>
        <v>1.6379999999999999</v>
      </c>
      <c r="AF51" s="9">
        <f t="shared" si="13"/>
        <v>5.5260000000000007</v>
      </c>
      <c r="AG51" s="9"/>
      <c r="AH51" s="10">
        <v>29281</v>
      </c>
      <c r="AI51" s="9">
        <f t="shared" si="14"/>
        <v>4.4119999999999999</v>
      </c>
      <c r="AJ51" s="9">
        <f t="shared" si="15"/>
        <v>1.8700000000000003</v>
      </c>
      <c r="AK51" s="9">
        <f t="shared" si="16"/>
        <v>0.77200000000000002</v>
      </c>
      <c r="AL51" s="9">
        <f t="shared" si="17"/>
        <v>-3.1659999999999999</v>
      </c>
      <c r="AM51" s="12">
        <f t="shared" si="18"/>
        <v>1.1140000000000008</v>
      </c>
    </row>
    <row r="52" spans="1:39" x14ac:dyDescent="0.25">
      <c r="A52">
        <v>99996</v>
      </c>
      <c r="B52" t="s">
        <v>37</v>
      </c>
      <c r="C52" s="13">
        <v>2427</v>
      </c>
      <c r="D52" s="13">
        <v>936</v>
      </c>
      <c r="E52" s="13">
        <v>723</v>
      </c>
      <c r="F52" s="13">
        <v>1987</v>
      </c>
      <c r="G52" s="13">
        <v>1077</v>
      </c>
      <c r="H52" s="13">
        <v>402</v>
      </c>
      <c r="J52" s="13">
        <v>3337</v>
      </c>
      <c r="K52" s="13">
        <v>892</v>
      </c>
      <c r="L52" s="13">
        <v>251</v>
      </c>
      <c r="M52" s="13">
        <v>1728</v>
      </c>
      <c r="N52" s="13">
        <v>1095</v>
      </c>
      <c r="O52" s="13">
        <v>443</v>
      </c>
      <c r="Q52" s="3">
        <f t="shared" si="0"/>
        <v>-0.91</v>
      </c>
      <c r="R52" s="3">
        <f t="shared" si="1"/>
        <v>4.3999999999999997E-2</v>
      </c>
      <c r="S52" s="3">
        <f t="shared" si="2"/>
        <v>0.47199999999999998</v>
      </c>
      <c r="T52" s="3">
        <f t="shared" si="3"/>
        <v>-1.7999999999999999E-2</v>
      </c>
      <c r="U52" s="3"/>
      <c r="V52" s="3">
        <f t="shared" si="4"/>
        <v>0.25900000000000001</v>
      </c>
      <c r="W52" s="3">
        <f t="shared" si="5"/>
        <v>-4.1000000000000002E-2</v>
      </c>
      <c r="Y52" s="3">
        <f t="shared" si="6"/>
        <v>-0.41200000000000003</v>
      </c>
      <c r="Z52" s="3">
        <f t="shared" si="7"/>
        <v>0.218</v>
      </c>
      <c r="AA52" s="3">
        <f t="shared" si="8"/>
        <v>-0.19400000000000003</v>
      </c>
      <c r="AB52" s="3"/>
      <c r="AC52" s="2" t="str">
        <f t="shared" si="10"/>
        <v>1980-04</v>
      </c>
      <c r="AD52" s="9">
        <f t="shared" si="11"/>
        <v>2.6070000000000002</v>
      </c>
      <c r="AE52" s="9">
        <f t="shared" si="12"/>
        <v>1.7569999999999999</v>
      </c>
      <c r="AF52" s="9">
        <f t="shared" si="13"/>
        <v>4.3640000000000008</v>
      </c>
      <c r="AG52" s="9"/>
      <c r="AH52" s="10">
        <v>29312</v>
      </c>
      <c r="AI52" s="9">
        <f t="shared" si="14"/>
        <v>2.87</v>
      </c>
      <c r="AJ52" s="9">
        <f t="shared" si="15"/>
        <v>1.7210000000000003</v>
      </c>
      <c r="AK52" s="9">
        <f t="shared" si="16"/>
        <v>1.22</v>
      </c>
      <c r="AL52" s="9">
        <f t="shared" si="17"/>
        <v>-3.2040000000000002</v>
      </c>
      <c r="AM52" s="12">
        <f t="shared" si="18"/>
        <v>1.4940000000000007</v>
      </c>
    </row>
    <row r="53" spans="1:39" x14ac:dyDescent="0.25">
      <c r="A53">
        <v>99996</v>
      </c>
      <c r="B53" t="s">
        <v>38</v>
      </c>
      <c r="C53" s="13">
        <v>2436</v>
      </c>
      <c r="D53" s="13">
        <v>849</v>
      </c>
      <c r="E53" s="13">
        <v>435</v>
      </c>
      <c r="F53" s="13">
        <v>1984</v>
      </c>
      <c r="G53" s="13">
        <v>1487</v>
      </c>
      <c r="H53" s="13">
        <v>457</v>
      </c>
      <c r="J53" s="13">
        <v>3113</v>
      </c>
      <c r="K53" s="13">
        <v>890</v>
      </c>
      <c r="L53" s="13">
        <v>368</v>
      </c>
      <c r="M53" s="13">
        <v>1967</v>
      </c>
      <c r="N53" s="13">
        <v>1766</v>
      </c>
      <c r="O53" s="13">
        <v>558</v>
      </c>
      <c r="Q53" s="3">
        <f t="shared" si="0"/>
        <v>-0.67700000000000005</v>
      </c>
      <c r="R53" s="3">
        <f t="shared" si="1"/>
        <v>-4.1000000000000002E-2</v>
      </c>
      <c r="S53" s="3">
        <f t="shared" si="2"/>
        <v>6.7000000000000004E-2</v>
      </c>
      <c r="T53" s="3">
        <f t="shared" si="3"/>
        <v>-0.27900000000000003</v>
      </c>
      <c r="U53" s="3"/>
      <c r="V53" s="3">
        <f t="shared" si="4"/>
        <v>1.7000000000000001E-2</v>
      </c>
      <c r="W53" s="3">
        <f t="shared" si="5"/>
        <v>-0.10100000000000001</v>
      </c>
      <c r="Y53" s="3">
        <f t="shared" si="6"/>
        <v>-0.93</v>
      </c>
      <c r="Z53" s="3">
        <f t="shared" si="7"/>
        <v>-8.4000000000000005E-2</v>
      </c>
      <c r="AA53" s="3">
        <f t="shared" si="8"/>
        <v>-1.014</v>
      </c>
      <c r="AB53" s="3"/>
      <c r="AC53" s="2" t="str">
        <f t="shared" si="10"/>
        <v>1980-05</v>
      </c>
      <c r="AD53" s="9">
        <f t="shared" si="11"/>
        <v>2.645</v>
      </c>
      <c r="AE53" s="9">
        <f t="shared" si="12"/>
        <v>1.4319999999999999</v>
      </c>
      <c r="AF53" s="9">
        <f t="shared" si="13"/>
        <v>4.077</v>
      </c>
      <c r="AG53" s="9"/>
      <c r="AH53" s="10">
        <v>29342</v>
      </c>
      <c r="AI53" s="9">
        <f t="shared" si="14"/>
        <v>3.1169999999999995</v>
      </c>
      <c r="AJ53" s="9">
        <f t="shared" si="15"/>
        <v>1.8690000000000004</v>
      </c>
      <c r="AK53" s="9">
        <f t="shared" si="16"/>
        <v>1.157</v>
      </c>
      <c r="AL53" s="9">
        <f t="shared" si="17"/>
        <v>-3.4979999999999998</v>
      </c>
      <c r="AM53" s="12">
        <f t="shared" si="18"/>
        <v>0.96000000000000041</v>
      </c>
    </row>
    <row r="54" spans="1:39" x14ac:dyDescent="0.25">
      <c r="A54">
        <v>99996</v>
      </c>
      <c r="B54" t="s">
        <v>39</v>
      </c>
      <c r="C54" s="13">
        <v>7484</v>
      </c>
      <c r="D54" s="13">
        <v>868</v>
      </c>
      <c r="E54" s="13">
        <v>996</v>
      </c>
      <c r="F54" s="13">
        <v>2560</v>
      </c>
      <c r="G54" s="13">
        <v>1639</v>
      </c>
      <c r="H54" s="13">
        <v>495</v>
      </c>
      <c r="J54" s="13">
        <v>5725</v>
      </c>
      <c r="K54" s="13">
        <v>825</v>
      </c>
      <c r="L54" s="13">
        <v>326</v>
      </c>
      <c r="M54" s="13">
        <v>2401</v>
      </c>
      <c r="N54" s="13">
        <v>2259</v>
      </c>
      <c r="O54" s="13">
        <v>676</v>
      </c>
      <c r="Q54" s="3">
        <f t="shared" si="0"/>
        <v>1.7589999999999999</v>
      </c>
      <c r="R54" s="3">
        <f t="shared" si="1"/>
        <v>4.2999999999999997E-2</v>
      </c>
      <c r="S54" s="3">
        <f t="shared" si="2"/>
        <v>0.67</v>
      </c>
      <c r="T54" s="3">
        <f t="shared" si="3"/>
        <v>-0.62</v>
      </c>
      <c r="U54" s="3"/>
      <c r="V54" s="3">
        <f t="shared" si="4"/>
        <v>0.159</v>
      </c>
      <c r="W54" s="3">
        <f t="shared" si="5"/>
        <v>-0.18099999999999999</v>
      </c>
      <c r="Y54" s="3">
        <f t="shared" si="6"/>
        <v>1.8519999999999999</v>
      </c>
      <c r="Z54" s="3">
        <f t="shared" si="7"/>
        <v>-2.1999999999999992E-2</v>
      </c>
      <c r="AA54" s="3">
        <f t="shared" si="8"/>
        <v>1.8299999999999996</v>
      </c>
      <c r="AB54" s="3"/>
      <c r="AC54" s="2" t="str">
        <f t="shared" si="10"/>
        <v>1980-06</v>
      </c>
      <c r="AD54" s="9">
        <f t="shared" si="11"/>
        <v>4.4489999999999998</v>
      </c>
      <c r="AE54" s="9">
        <f t="shared" si="12"/>
        <v>1.3449999999999998</v>
      </c>
      <c r="AF54" s="9">
        <f t="shared" si="13"/>
        <v>5.7940000000000005</v>
      </c>
      <c r="AG54" s="9"/>
      <c r="AH54" s="10">
        <v>29373</v>
      </c>
      <c r="AI54" s="9">
        <f t="shared" si="14"/>
        <v>4.556</v>
      </c>
      <c r="AJ54" s="9">
        <f t="shared" si="15"/>
        <v>1.73</v>
      </c>
      <c r="AK54" s="9">
        <f t="shared" si="16"/>
        <v>1.7050000000000001</v>
      </c>
      <c r="AL54" s="9">
        <f t="shared" si="17"/>
        <v>-3.5420000000000003</v>
      </c>
      <c r="AM54" s="12">
        <f t="shared" si="18"/>
        <v>1.2380000000000004</v>
      </c>
    </row>
    <row r="55" spans="1:39" x14ac:dyDescent="0.25">
      <c r="A55">
        <v>99996</v>
      </c>
      <c r="B55" t="s">
        <v>40</v>
      </c>
      <c r="C55" s="13">
        <v>4168</v>
      </c>
      <c r="D55" s="13">
        <v>1046</v>
      </c>
      <c r="E55" s="13">
        <v>689</v>
      </c>
      <c r="F55" s="13">
        <v>3112</v>
      </c>
      <c r="G55" s="13">
        <v>1732</v>
      </c>
      <c r="H55" s="13">
        <v>664</v>
      </c>
      <c r="J55" s="13">
        <v>3477</v>
      </c>
      <c r="K55" s="13">
        <v>564</v>
      </c>
      <c r="L55" s="13">
        <v>334</v>
      </c>
      <c r="M55" s="13">
        <v>2803</v>
      </c>
      <c r="N55" s="13">
        <v>1411</v>
      </c>
      <c r="O55" s="13">
        <v>744</v>
      </c>
      <c r="Q55" s="3">
        <f t="shared" si="0"/>
        <v>0.69099999999999995</v>
      </c>
      <c r="R55" s="3">
        <f t="shared" si="1"/>
        <v>0.48199999999999998</v>
      </c>
      <c r="S55" s="3">
        <f t="shared" si="2"/>
        <v>0.35499999999999998</v>
      </c>
      <c r="T55" s="3">
        <f t="shared" si="3"/>
        <v>0.32100000000000001</v>
      </c>
      <c r="U55" s="3"/>
      <c r="V55" s="3">
        <f t="shared" si="4"/>
        <v>0.309</v>
      </c>
      <c r="W55" s="3">
        <f t="shared" si="5"/>
        <v>-0.08</v>
      </c>
      <c r="Y55" s="3">
        <f t="shared" si="6"/>
        <v>1.849</v>
      </c>
      <c r="Z55" s="3">
        <f t="shared" si="7"/>
        <v>0.22899999999999998</v>
      </c>
      <c r="AA55" s="3">
        <f t="shared" si="8"/>
        <v>2.0779999999999998</v>
      </c>
      <c r="AB55" s="3"/>
      <c r="AC55" s="2" t="str">
        <f t="shared" si="10"/>
        <v>1980-07</v>
      </c>
      <c r="AD55" s="9">
        <f t="shared" si="11"/>
        <v>4.9349999999999996</v>
      </c>
      <c r="AE55" s="9">
        <f t="shared" si="12"/>
        <v>1.5719999999999996</v>
      </c>
      <c r="AF55" s="9">
        <f t="shared" si="13"/>
        <v>6.5069999999999997</v>
      </c>
      <c r="AG55" s="9"/>
      <c r="AH55" s="10">
        <v>29403</v>
      </c>
      <c r="AI55" s="9">
        <f t="shared" si="14"/>
        <v>3.6970000000000001</v>
      </c>
      <c r="AJ55" s="9">
        <f t="shared" si="15"/>
        <v>1.9650000000000001</v>
      </c>
      <c r="AK55" s="9">
        <f t="shared" si="16"/>
        <v>2.0739999999999998</v>
      </c>
      <c r="AL55" s="9">
        <f t="shared" si="17"/>
        <v>-2.8009999999999997</v>
      </c>
      <c r="AM55" s="12">
        <f t="shared" si="18"/>
        <v>2.8099999999999996</v>
      </c>
    </row>
    <row r="56" spans="1:39" x14ac:dyDescent="0.25">
      <c r="A56">
        <v>99996</v>
      </c>
      <c r="B56" t="s">
        <v>41</v>
      </c>
      <c r="C56" s="13">
        <v>3078</v>
      </c>
      <c r="D56" s="13">
        <v>577</v>
      </c>
      <c r="E56" s="13">
        <v>510</v>
      </c>
      <c r="F56" s="13">
        <v>3509</v>
      </c>
      <c r="G56" s="13">
        <v>1375</v>
      </c>
      <c r="H56" s="13">
        <v>605</v>
      </c>
      <c r="J56" s="13">
        <v>3845</v>
      </c>
      <c r="K56" s="13">
        <v>403</v>
      </c>
      <c r="L56" s="13">
        <v>187</v>
      </c>
      <c r="M56" s="13">
        <v>3302</v>
      </c>
      <c r="N56" s="13">
        <v>1666</v>
      </c>
      <c r="O56" s="13">
        <v>811</v>
      </c>
      <c r="Q56" s="3">
        <f t="shared" si="0"/>
        <v>-0.76700000000000002</v>
      </c>
      <c r="R56" s="3">
        <f t="shared" si="1"/>
        <v>0.17399999999999999</v>
      </c>
      <c r="S56" s="3">
        <f t="shared" si="2"/>
        <v>0.32300000000000001</v>
      </c>
      <c r="T56" s="3">
        <f t="shared" si="3"/>
        <v>-0.29099999999999998</v>
      </c>
      <c r="U56" s="3"/>
      <c r="V56" s="3">
        <f t="shared" si="4"/>
        <v>0.20699999999999999</v>
      </c>
      <c r="W56" s="3">
        <f t="shared" si="5"/>
        <v>-0.20599999999999999</v>
      </c>
      <c r="Y56" s="3">
        <f t="shared" si="6"/>
        <v>-0.56099999999999994</v>
      </c>
      <c r="Z56" s="3">
        <f t="shared" si="7"/>
        <v>1.0000000000000009E-3</v>
      </c>
      <c r="AA56" s="3">
        <f t="shared" si="8"/>
        <v>-0.55999999999999994</v>
      </c>
      <c r="AB56" s="3"/>
      <c r="AC56" s="2" t="str">
        <f t="shared" si="10"/>
        <v>1980-08</v>
      </c>
      <c r="AD56" s="9">
        <f t="shared" si="11"/>
        <v>4.3369999999999997</v>
      </c>
      <c r="AE56" s="9">
        <f t="shared" si="12"/>
        <v>1.5369999999999995</v>
      </c>
      <c r="AF56" s="9">
        <f t="shared" si="13"/>
        <v>5.8739999999999997</v>
      </c>
      <c r="AG56" s="9"/>
      <c r="AH56" s="10">
        <v>29434</v>
      </c>
      <c r="AI56" s="9">
        <f t="shared" si="14"/>
        <v>2.3359999999999999</v>
      </c>
      <c r="AJ56" s="9">
        <f t="shared" si="15"/>
        <v>2.044</v>
      </c>
      <c r="AK56" s="9">
        <f t="shared" si="16"/>
        <v>2.4409999999999998</v>
      </c>
      <c r="AL56" s="9">
        <f t="shared" si="17"/>
        <v>-2.484</v>
      </c>
      <c r="AM56" s="12">
        <f t="shared" si="18"/>
        <v>3.5379999999999998</v>
      </c>
    </row>
    <row r="57" spans="1:39" x14ac:dyDescent="0.25">
      <c r="A57">
        <v>99996</v>
      </c>
      <c r="B57" t="s">
        <v>42</v>
      </c>
      <c r="C57" s="13">
        <v>6675</v>
      </c>
      <c r="D57" s="13">
        <v>301</v>
      </c>
      <c r="E57" s="13">
        <v>344</v>
      </c>
      <c r="F57" s="13">
        <v>3570</v>
      </c>
      <c r="G57" s="13">
        <v>1233</v>
      </c>
      <c r="H57" s="13">
        <v>695</v>
      </c>
      <c r="J57" s="13">
        <v>4923</v>
      </c>
      <c r="K57" s="13">
        <v>317</v>
      </c>
      <c r="L57" s="13">
        <v>150</v>
      </c>
      <c r="M57" s="13">
        <v>3316</v>
      </c>
      <c r="N57" s="13">
        <v>1347</v>
      </c>
      <c r="O57" s="13">
        <v>1262</v>
      </c>
      <c r="Q57" s="3">
        <f t="shared" si="0"/>
        <v>1.752</v>
      </c>
      <c r="R57" s="3">
        <f t="shared" si="1"/>
        <v>-1.6E-2</v>
      </c>
      <c r="S57" s="3">
        <f t="shared" si="2"/>
        <v>0.19400000000000001</v>
      </c>
      <c r="T57" s="3">
        <f t="shared" si="3"/>
        <v>-0.114</v>
      </c>
      <c r="U57" s="3"/>
      <c r="V57" s="3">
        <f t="shared" si="4"/>
        <v>0.254</v>
      </c>
      <c r="W57" s="3">
        <f t="shared" si="5"/>
        <v>-0.56699999999999995</v>
      </c>
      <c r="Y57" s="3">
        <f t="shared" si="6"/>
        <v>1.8159999999999998</v>
      </c>
      <c r="Z57" s="3">
        <f t="shared" si="7"/>
        <v>-0.31299999999999994</v>
      </c>
      <c r="AA57" s="3">
        <f t="shared" si="8"/>
        <v>1.5029999999999999</v>
      </c>
      <c r="AB57" s="3"/>
      <c r="AC57" s="2" t="str">
        <f t="shared" si="10"/>
        <v>1980-09</v>
      </c>
      <c r="AD57" s="9">
        <f t="shared" si="11"/>
        <v>6.125</v>
      </c>
      <c r="AE57" s="9">
        <f t="shared" si="12"/>
        <v>1.5039999999999998</v>
      </c>
      <c r="AF57" s="9">
        <f t="shared" si="13"/>
        <v>7.6290000000000004</v>
      </c>
      <c r="AG57" s="9"/>
      <c r="AH57" s="10">
        <v>29465</v>
      </c>
      <c r="AI57" s="9">
        <f t="shared" si="14"/>
        <v>3.4329999999999998</v>
      </c>
      <c r="AJ57" s="9">
        <f t="shared" si="15"/>
        <v>1.9379999999999999</v>
      </c>
      <c r="AK57" s="9">
        <f t="shared" si="16"/>
        <v>2.5680000000000001</v>
      </c>
      <c r="AL57" s="9">
        <f t="shared" si="17"/>
        <v>-1.8140000000000001</v>
      </c>
      <c r="AM57" s="12">
        <f t="shared" si="18"/>
        <v>4.1960000000000006</v>
      </c>
    </row>
    <row r="58" spans="1:39" x14ac:dyDescent="0.25">
      <c r="A58">
        <v>99996</v>
      </c>
      <c r="B58" t="s">
        <v>43</v>
      </c>
      <c r="C58" s="13">
        <v>4015</v>
      </c>
      <c r="D58" s="13">
        <v>1077</v>
      </c>
      <c r="E58" s="13">
        <v>515</v>
      </c>
      <c r="F58" s="13">
        <v>4426</v>
      </c>
      <c r="G58" s="13">
        <v>1654</v>
      </c>
      <c r="H58" s="13">
        <v>796</v>
      </c>
      <c r="J58" s="13">
        <v>3335</v>
      </c>
      <c r="K58" s="13">
        <v>527</v>
      </c>
      <c r="L58" s="13">
        <v>212</v>
      </c>
      <c r="M58" s="13">
        <v>3905</v>
      </c>
      <c r="N58" s="13">
        <v>1865</v>
      </c>
      <c r="O58" s="13">
        <v>1148</v>
      </c>
      <c r="Q58" s="3">
        <f t="shared" si="0"/>
        <v>0.68</v>
      </c>
      <c r="R58" s="3">
        <f t="shared" si="1"/>
        <v>0.55000000000000004</v>
      </c>
      <c r="S58" s="3">
        <f t="shared" si="2"/>
        <v>0.30299999999999999</v>
      </c>
      <c r="T58" s="3">
        <f t="shared" si="3"/>
        <v>-0.21099999999999999</v>
      </c>
      <c r="U58" s="3"/>
      <c r="V58" s="3">
        <f t="shared" si="4"/>
        <v>0.52100000000000002</v>
      </c>
      <c r="W58" s="3">
        <f t="shared" si="5"/>
        <v>-0.35199999999999998</v>
      </c>
      <c r="Y58" s="3">
        <f t="shared" si="6"/>
        <v>1.3219999999999998</v>
      </c>
      <c r="Z58" s="3">
        <f t="shared" si="7"/>
        <v>0.16900000000000004</v>
      </c>
      <c r="AA58" s="3">
        <f t="shared" si="8"/>
        <v>1.4910000000000001</v>
      </c>
      <c r="AB58" s="3"/>
      <c r="AC58" s="2" t="str">
        <f t="shared" si="10"/>
        <v>1980-10</v>
      </c>
      <c r="AD58" s="9">
        <f t="shared" si="11"/>
        <v>6.6339999999999995</v>
      </c>
      <c r="AE58" s="9">
        <f t="shared" si="12"/>
        <v>1.8399999999999996</v>
      </c>
      <c r="AF58" s="9">
        <f t="shared" si="13"/>
        <v>8.4740000000000002</v>
      </c>
      <c r="AG58" s="9"/>
      <c r="AH58" s="10">
        <v>29495</v>
      </c>
      <c r="AI58" s="9">
        <f t="shared" si="14"/>
        <v>3.4810000000000003</v>
      </c>
      <c r="AJ58" s="9">
        <f t="shared" si="15"/>
        <v>2.298</v>
      </c>
      <c r="AK58" s="9">
        <f t="shared" si="16"/>
        <v>2.8359999999999999</v>
      </c>
      <c r="AL58" s="9">
        <f t="shared" si="17"/>
        <v>-1.9810000000000001</v>
      </c>
      <c r="AM58" s="12">
        <f t="shared" si="18"/>
        <v>4.9930000000000003</v>
      </c>
    </row>
    <row r="59" spans="1:39" x14ac:dyDescent="0.25">
      <c r="A59">
        <v>99996</v>
      </c>
      <c r="B59" t="s">
        <v>44</v>
      </c>
      <c r="C59" s="13">
        <v>4017</v>
      </c>
      <c r="D59" s="13">
        <v>947</v>
      </c>
      <c r="E59" s="13">
        <v>246</v>
      </c>
      <c r="F59" s="13">
        <v>4442</v>
      </c>
      <c r="G59" s="13">
        <v>1257</v>
      </c>
      <c r="H59" s="13">
        <v>927</v>
      </c>
      <c r="J59" s="13">
        <v>3352</v>
      </c>
      <c r="K59" s="13">
        <v>739</v>
      </c>
      <c r="L59" s="13">
        <v>164</v>
      </c>
      <c r="M59" s="13">
        <v>3550</v>
      </c>
      <c r="N59" s="13">
        <v>1162</v>
      </c>
      <c r="O59" s="13">
        <v>801</v>
      </c>
      <c r="Q59" s="3">
        <f t="shared" si="0"/>
        <v>0.66500000000000004</v>
      </c>
      <c r="R59" s="3">
        <f t="shared" si="1"/>
        <v>0.20799999999999999</v>
      </c>
      <c r="S59" s="3">
        <f t="shared" si="2"/>
        <v>8.2000000000000003E-2</v>
      </c>
      <c r="T59" s="3">
        <f t="shared" si="3"/>
        <v>9.5000000000000001E-2</v>
      </c>
      <c r="U59" s="3"/>
      <c r="V59" s="3">
        <f t="shared" si="4"/>
        <v>0.89200000000000002</v>
      </c>
      <c r="W59" s="3">
        <f t="shared" si="5"/>
        <v>0.126</v>
      </c>
      <c r="Y59" s="3">
        <f t="shared" si="6"/>
        <v>1.05</v>
      </c>
      <c r="Z59" s="3">
        <f t="shared" si="7"/>
        <v>1.018</v>
      </c>
      <c r="AA59" s="3">
        <f t="shared" si="8"/>
        <v>2.0680000000000001</v>
      </c>
      <c r="AB59" s="3"/>
      <c r="AC59" s="2" t="str">
        <f t="shared" si="10"/>
        <v>1980-11</v>
      </c>
      <c r="AD59" s="9">
        <f t="shared" si="11"/>
        <v>9.3119999999999994</v>
      </c>
      <c r="AE59" s="9">
        <f t="shared" si="12"/>
        <v>2.7529999999999997</v>
      </c>
      <c r="AF59" s="9">
        <f t="shared" si="13"/>
        <v>12.064999999999998</v>
      </c>
      <c r="AG59" s="9"/>
      <c r="AH59" s="10">
        <v>29526</v>
      </c>
      <c r="AI59" s="9">
        <f t="shared" si="14"/>
        <v>5.242</v>
      </c>
      <c r="AJ59" s="9">
        <f t="shared" si="15"/>
        <v>2.6110000000000002</v>
      </c>
      <c r="AK59" s="9">
        <f t="shared" si="16"/>
        <v>3.0009999999999994</v>
      </c>
      <c r="AL59" s="9">
        <f t="shared" si="17"/>
        <v>-1.5420000000000003</v>
      </c>
      <c r="AM59" s="12">
        <f t="shared" si="18"/>
        <v>6.8229999999999977</v>
      </c>
    </row>
    <row r="60" spans="1:39" x14ac:dyDescent="0.25">
      <c r="A60">
        <v>99996</v>
      </c>
      <c r="B60" t="s">
        <v>45</v>
      </c>
      <c r="C60" s="13">
        <v>5754</v>
      </c>
      <c r="D60" s="13">
        <v>566</v>
      </c>
      <c r="E60" s="13">
        <v>381</v>
      </c>
      <c r="F60" s="13">
        <v>4324</v>
      </c>
      <c r="G60" s="13">
        <v>1787</v>
      </c>
      <c r="H60" s="13">
        <v>723</v>
      </c>
      <c r="J60" s="13">
        <v>5557</v>
      </c>
      <c r="K60" s="13">
        <v>602</v>
      </c>
      <c r="L60" s="13">
        <v>248</v>
      </c>
      <c r="M60" s="13">
        <v>3678</v>
      </c>
      <c r="N60" s="13">
        <v>1569</v>
      </c>
      <c r="O60" s="13">
        <v>798</v>
      </c>
      <c r="Q60" s="3">
        <f t="shared" si="0"/>
        <v>0.19700000000000001</v>
      </c>
      <c r="R60" s="3">
        <f t="shared" si="1"/>
        <v>-3.5999999999999997E-2</v>
      </c>
      <c r="S60" s="3">
        <f t="shared" si="2"/>
        <v>0.13300000000000001</v>
      </c>
      <c r="T60" s="3">
        <f t="shared" si="3"/>
        <v>0.218</v>
      </c>
      <c r="U60" s="3"/>
      <c r="V60" s="3">
        <f t="shared" si="4"/>
        <v>0.64600000000000002</v>
      </c>
      <c r="W60" s="3">
        <f t="shared" si="5"/>
        <v>-7.4999999999999997E-2</v>
      </c>
      <c r="Y60" s="3">
        <f t="shared" si="6"/>
        <v>0.51200000000000001</v>
      </c>
      <c r="Z60" s="3">
        <f t="shared" si="7"/>
        <v>0.57100000000000006</v>
      </c>
      <c r="AA60" s="3">
        <f t="shared" si="8"/>
        <v>1.083</v>
      </c>
      <c r="AB60" s="3"/>
      <c r="AC60" s="2" t="str">
        <f t="shared" si="10"/>
        <v>1980-12</v>
      </c>
      <c r="AD60" s="9">
        <f t="shared" si="11"/>
        <v>9.3370000000000015</v>
      </c>
      <c r="AE60" s="9">
        <f t="shared" si="12"/>
        <v>3.282</v>
      </c>
      <c r="AF60" s="9">
        <f t="shared" si="13"/>
        <v>12.619</v>
      </c>
      <c r="AG60" s="9"/>
      <c r="AH60" s="10">
        <v>29556</v>
      </c>
      <c r="AI60" s="9">
        <f t="shared" si="14"/>
        <v>4.8949999999999996</v>
      </c>
      <c r="AJ60" s="9">
        <f t="shared" si="15"/>
        <v>2.56</v>
      </c>
      <c r="AK60" s="9">
        <f t="shared" si="16"/>
        <v>2.8809999999999998</v>
      </c>
      <c r="AL60" s="9">
        <f t="shared" si="17"/>
        <v>-0.99900000000000011</v>
      </c>
      <c r="AM60" s="12">
        <f t="shared" si="18"/>
        <v>7.7240000000000002</v>
      </c>
    </row>
    <row r="61" spans="1:39" x14ac:dyDescent="0.25">
      <c r="A61">
        <v>99996</v>
      </c>
      <c r="B61" t="s">
        <v>46</v>
      </c>
      <c r="C61" s="13">
        <v>3316</v>
      </c>
      <c r="D61" s="13">
        <v>1056</v>
      </c>
      <c r="E61" s="13">
        <v>506</v>
      </c>
      <c r="F61" s="13">
        <v>3419</v>
      </c>
      <c r="G61" s="13">
        <v>1144</v>
      </c>
      <c r="H61" s="13">
        <v>701</v>
      </c>
      <c r="J61" s="13">
        <v>2281</v>
      </c>
      <c r="K61" s="13">
        <v>643</v>
      </c>
      <c r="L61" s="13">
        <v>230</v>
      </c>
      <c r="M61" s="13">
        <v>2798</v>
      </c>
      <c r="N61" s="13">
        <v>1384</v>
      </c>
      <c r="O61" s="13">
        <v>682</v>
      </c>
      <c r="Q61" s="3">
        <f t="shared" si="0"/>
        <v>1.0349999999999999</v>
      </c>
      <c r="R61" s="3">
        <f t="shared" si="1"/>
        <v>0.41299999999999998</v>
      </c>
      <c r="S61" s="3">
        <f t="shared" si="2"/>
        <v>0.27600000000000002</v>
      </c>
      <c r="T61" s="3">
        <f t="shared" si="3"/>
        <v>-0.24</v>
      </c>
      <c r="U61" s="3"/>
      <c r="V61" s="3">
        <f t="shared" si="4"/>
        <v>0.621</v>
      </c>
      <c r="W61" s="3">
        <f t="shared" si="5"/>
        <v>1.9E-2</v>
      </c>
      <c r="Y61" s="3">
        <f t="shared" si="6"/>
        <v>1.484</v>
      </c>
      <c r="Z61" s="3">
        <f t="shared" si="7"/>
        <v>0.64</v>
      </c>
      <c r="AA61" s="3">
        <f t="shared" si="8"/>
        <v>2.1240000000000001</v>
      </c>
      <c r="AB61" s="3"/>
      <c r="AC61" s="2" t="str">
        <f t="shared" si="10"/>
        <v>1981-01</v>
      </c>
      <c r="AD61" s="9">
        <f t="shared" si="11"/>
        <v>8.8360000000000003</v>
      </c>
      <c r="AE61" s="9">
        <f t="shared" si="12"/>
        <v>3.4710000000000001</v>
      </c>
      <c r="AF61" s="9">
        <f t="shared" si="13"/>
        <v>12.307</v>
      </c>
      <c r="AG61" s="9"/>
      <c r="AH61" s="10">
        <v>29587</v>
      </c>
      <c r="AI61" s="9">
        <f t="shared" si="14"/>
        <v>4.5369999999999999</v>
      </c>
      <c r="AJ61" s="9">
        <f t="shared" si="15"/>
        <v>2.4309999999999996</v>
      </c>
      <c r="AK61" s="9">
        <f t="shared" si="16"/>
        <v>3.0569999999999995</v>
      </c>
      <c r="AL61" s="9">
        <f t="shared" si="17"/>
        <v>-1.1890000000000003</v>
      </c>
      <c r="AM61" s="12">
        <f t="shared" si="18"/>
        <v>7.7700000000000005</v>
      </c>
    </row>
    <row r="62" spans="1:39" x14ac:dyDescent="0.25">
      <c r="A62">
        <v>99996</v>
      </c>
      <c r="B62" t="s">
        <v>47</v>
      </c>
      <c r="C62" s="13">
        <v>5192</v>
      </c>
      <c r="D62" s="13">
        <v>802</v>
      </c>
      <c r="E62" s="13">
        <v>598</v>
      </c>
      <c r="F62" s="13">
        <v>2723</v>
      </c>
      <c r="G62" s="13">
        <v>1316</v>
      </c>
      <c r="H62" s="13">
        <v>717</v>
      </c>
      <c r="J62" s="13">
        <v>3423</v>
      </c>
      <c r="K62" s="13">
        <v>658</v>
      </c>
      <c r="L62" s="13">
        <v>205</v>
      </c>
      <c r="M62" s="13">
        <v>2313</v>
      </c>
      <c r="N62" s="13">
        <v>1276</v>
      </c>
      <c r="O62" s="13">
        <v>716</v>
      </c>
      <c r="Q62" s="3">
        <f t="shared" si="0"/>
        <v>1.7689999999999999</v>
      </c>
      <c r="R62" s="3">
        <f t="shared" si="1"/>
        <v>0.14399999999999999</v>
      </c>
      <c r="S62" s="3">
        <f t="shared" si="2"/>
        <v>0.39300000000000002</v>
      </c>
      <c r="T62" s="3">
        <f t="shared" si="3"/>
        <v>0.04</v>
      </c>
      <c r="U62" s="3"/>
      <c r="V62" s="3">
        <f t="shared" si="4"/>
        <v>0.41</v>
      </c>
      <c r="W62" s="3">
        <f t="shared" si="5"/>
        <v>1E-3</v>
      </c>
      <c r="Y62" s="3">
        <f t="shared" si="6"/>
        <v>2.3460000000000001</v>
      </c>
      <c r="Z62" s="3">
        <f t="shared" si="7"/>
        <v>0.41099999999999998</v>
      </c>
      <c r="AA62" s="3">
        <f t="shared" si="8"/>
        <v>2.7570000000000001</v>
      </c>
      <c r="AB62" s="3"/>
      <c r="AC62" s="2" t="str">
        <f t="shared" si="10"/>
        <v>1981-02</v>
      </c>
      <c r="AD62" s="9">
        <f t="shared" si="11"/>
        <v>10.557</v>
      </c>
      <c r="AE62" s="9">
        <f t="shared" si="12"/>
        <v>3.2030000000000003</v>
      </c>
      <c r="AF62" s="9">
        <f t="shared" si="13"/>
        <v>13.76</v>
      </c>
      <c r="AG62" s="9"/>
      <c r="AH62" s="10">
        <v>29618</v>
      </c>
      <c r="AI62" s="9">
        <f t="shared" si="14"/>
        <v>5.9630000000000001</v>
      </c>
      <c r="AJ62" s="9">
        <f t="shared" si="15"/>
        <v>2.4079999999999999</v>
      </c>
      <c r="AK62" s="9">
        <f t="shared" si="16"/>
        <v>3.2639999999999993</v>
      </c>
      <c r="AL62" s="9">
        <f t="shared" si="17"/>
        <v>-1.0779999999999998</v>
      </c>
      <c r="AM62" s="12">
        <f t="shared" si="18"/>
        <v>7.7969999999999997</v>
      </c>
    </row>
    <row r="63" spans="1:39" x14ac:dyDescent="0.25">
      <c r="A63">
        <v>99996</v>
      </c>
      <c r="B63" t="s">
        <v>48</v>
      </c>
      <c r="C63" s="13">
        <v>7161</v>
      </c>
      <c r="D63" s="13">
        <v>980</v>
      </c>
      <c r="E63" s="13">
        <v>1064</v>
      </c>
      <c r="F63" s="13">
        <v>3965</v>
      </c>
      <c r="G63" s="13">
        <v>1712</v>
      </c>
      <c r="H63" s="13">
        <v>775</v>
      </c>
      <c r="J63" s="13">
        <v>5636</v>
      </c>
      <c r="K63" s="13">
        <v>956</v>
      </c>
      <c r="L63" s="13">
        <v>286</v>
      </c>
      <c r="M63" s="13">
        <v>3319</v>
      </c>
      <c r="N63" s="13">
        <v>1832</v>
      </c>
      <c r="O63" s="13">
        <v>969</v>
      </c>
      <c r="Q63" s="3">
        <f t="shared" si="0"/>
        <v>1.5249999999999999</v>
      </c>
      <c r="R63" s="3">
        <f t="shared" si="1"/>
        <v>2.4E-2</v>
      </c>
      <c r="S63" s="3">
        <f t="shared" si="2"/>
        <v>0.77800000000000002</v>
      </c>
      <c r="T63" s="3">
        <f t="shared" si="3"/>
        <v>-0.12</v>
      </c>
      <c r="U63" s="3"/>
      <c r="V63" s="3">
        <f t="shared" si="4"/>
        <v>0.64600000000000002</v>
      </c>
      <c r="W63" s="3">
        <f t="shared" si="5"/>
        <v>-0.19400000000000001</v>
      </c>
      <c r="Y63" s="3">
        <f t="shared" si="6"/>
        <v>2.2069999999999999</v>
      </c>
      <c r="Z63" s="3">
        <f t="shared" si="7"/>
        <v>0.45200000000000001</v>
      </c>
      <c r="AA63" s="3">
        <f t="shared" si="8"/>
        <v>2.6589999999999998</v>
      </c>
      <c r="AB63" s="3"/>
      <c r="AC63" s="2" t="str">
        <f t="shared" si="10"/>
        <v>1981-03</v>
      </c>
      <c r="AD63" s="9">
        <f t="shared" si="11"/>
        <v>12.535</v>
      </c>
      <c r="AE63" s="9">
        <f t="shared" si="12"/>
        <v>3.2900000000000005</v>
      </c>
      <c r="AF63" s="9">
        <f t="shared" si="13"/>
        <v>15.824999999999999</v>
      </c>
      <c r="AG63" s="9"/>
      <c r="AH63" s="10">
        <v>29646</v>
      </c>
      <c r="AI63" s="9">
        <f t="shared" si="14"/>
        <v>7.7189999999999994</v>
      </c>
      <c r="AJ63" s="9">
        <f t="shared" si="15"/>
        <v>1.9889999999999999</v>
      </c>
      <c r="AK63" s="9">
        <f t="shared" si="16"/>
        <v>4.0459999999999994</v>
      </c>
      <c r="AL63" s="9">
        <f t="shared" si="17"/>
        <v>-1.2190000000000003</v>
      </c>
      <c r="AM63" s="12">
        <f t="shared" si="18"/>
        <v>8.1059999999999999</v>
      </c>
    </row>
    <row r="64" spans="1:39" x14ac:dyDescent="0.25">
      <c r="A64">
        <v>99996</v>
      </c>
      <c r="B64" t="s">
        <v>49</v>
      </c>
      <c r="C64" s="13">
        <v>4739</v>
      </c>
      <c r="D64" s="13">
        <v>1128</v>
      </c>
      <c r="E64" s="13">
        <v>383</v>
      </c>
      <c r="F64" s="13">
        <v>4030</v>
      </c>
      <c r="G64" s="13">
        <v>1124</v>
      </c>
      <c r="H64" s="13">
        <v>857</v>
      </c>
      <c r="J64" s="13">
        <v>4371</v>
      </c>
      <c r="K64" s="13">
        <v>510</v>
      </c>
      <c r="L64" s="13">
        <v>233</v>
      </c>
      <c r="M64" s="13">
        <v>3306</v>
      </c>
      <c r="N64" s="13">
        <v>1755</v>
      </c>
      <c r="O64" s="13">
        <v>969</v>
      </c>
      <c r="Q64" s="3">
        <f t="shared" si="0"/>
        <v>0.36799999999999999</v>
      </c>
      <c r="R64" s="3">
        <f t="shared" si="1"/>
        <v>0.61799999999999999</v>
      </c>
      <c r="S64" s="3">
        <f t="shared" si="2"/>
        <v>0.15</v>
      </c>
      <c r="T64" s="3">
        <f t="shared" si="3"/>
        <v>-0.63100000000000001</v>
      </c>
      <c r="U64" s="3"/>
      <c r="V64" s="3">
        <f t="shared" si="4"/>
        <v>0.72399999999999998</v>
      </c>
      <c r="W64" s="3">
        <f t="shared" si="5"/>
        <v>-0.112</v>
      </c>
      <c r="Y64" s="3">
        <f t="shared" si="6"/>
        <v>0.50499999999999989</v>
      </c>
      <c r="Z64" s="3">
        <f t="shared" si="7"/>
        <v>0.61199999999999999</v>
      </c>
      <c r="AA64" s="3">
        <f t="shared" si="8"/>
        <v>1.1169999999999998</v>
      </c>
      <c r="AB64" s="3"/>
      <c r="AC64" s="2" t="str">
        <f t="shared" si="10"/>
        <v>1981-04</v>
      </c>
      <c r="AD64" s="9">
        <f t="shared" si="11"/>
        <v>13.451999999999998</v>
      </c>
      <c r="AE64" s="9">
        <f t="shared" si="12"/>
        <v>3.6840000000000002</v>
      </c>
      <c r="AF64" s="9">
        <f t="shared" si="13"/>
        <v>17.135999999999999</v>
      </c>
      <c r="AG64" s="9"/>
      <c r="AH64" s="10">
        <v>29677</v>
      </c>
      <c r="AI64" s="9">
        <f t="shared" si="14"/>
        <v>8.9969999999999999</v>
      </c>
      <c r="AJ64" s="9">
        <f t="shared" si="15"/>
        <v>2.5629999999999997</v>
      </c>
      <c r="AK64" s="9">
        <f t="shared" si="16"/>
        <v>3.7239999999999993</v>
      </c>
      <c r="AL64" s="9">
        <f t="shared" si="17"/>
        <v>-1.8320000000000001</v>
      </c>
      <c r="AM64" s="12">
        <f t="shared" si="18"/>
        <v>8.1389999999999993</v>
      </c>
    </row>
    <row r="65" spans="1:39" x14ac:dyDescent="0.25">
      <c r="A65">
        <v>99996</v>
      </c>
      <c r="B65" t="s">
        <v>50</v>
      </c>
      <c r="C65" s="13">
        <v>5130</v>
      </c>
      <c r="D65" s="13">
        <v>507</v>
      </c>
      <c r="E65" s="13">
        <v>391</v>
      </c>
      <c r="F65" s="13">
        <v>4105</v>
      </c>
      <c r="G65" s="13">
        <v>1290</v>
      </c>
      <c r="H65" s="13">
        <v>872</v>
      </c>
      <c r="J65" s="13">
        <v>4416</v>
      </c>
      <c r="K65" s="13">
        <v>473</v>
      </c>
      <c r="L65" s="13">
        <v>196</v>
      </c>
      <c r="M65" s="13">
        <v>2866</v>
      </c>
      <c r="N65" s="13">
        <v>1502</v>
      </c>
      <c r="O65" s="13">
        <v>837</v>
      </c>
      <c r="Q65" s="3">
        <f t="shared" si="0"/>
        <v>0.71399999999999997</v>
      </c>
      <c r="R65" s="3">
        <f t="shared" si="1"/>
        <v>3.4000000000000002E-2</v>
      </c>
      <c r="S65" s="3">
        <f t="shared" si="2"/>
        <v>0.19500000000000001</v>
      </c>
      <c r="T65" s="3">
        <f t="shared" si="3"/>
        <v>-0.21199999999999999</v>
      </c>
      <c r="U65" s="3"/>
      <c r="V65" s="3">
        <f t="shared" si="4"/>
        <v>1.2390000000000001</v>
      </c>
      <c r="W65" s="3">
        <f t="shared" si="5"/>
        <v>3.5000000000000003E-2</v>
      </c>
      <c r="Y65" s="3">
        <f t="shared" si="6"/>
        <v>0.73100000000000009</v>
      </c>
      <c r="Z65" s="3">
        <f t="shared" si="7"/>
        <v>1.274</v>
      </c>
      <c r="AA65" s="3">
        <f t="shared" si="8"/>
        <v>2.0050000000000003</v>
      </c>
      <c r="AB65" s="3"/>
      <c r="AC65" s="2" t="str">
        <f t="shared" si="10"/>
        <v>1981-05</v>
      </c>
      <c r="AD65" s="9">
        <f t="shared" si="11"/>
        <v>15.112999999999998</v>
      </c>
      <c r="AE65" s="9">
        <f t="shared" si="12"/>
        <v>5.0419999999999998</v>
      </c>
      <c r="AF65" s="9">
        <f t="shared" si="13"/>
        <v>20.154999999999998</v>
      </c>
      <c r="AG65" s="9"/>
      <c r="AH65" s="10">
        <v>29707</v>
      </c>
      <c r="AI65" s="9">
        <f t="shared" si="14"/>
        <v>10.388</v>
      </c>
      <c r="AJ65" s="9">
        <f t="shared" si="15"/>
        <v>2.6379999999999999</v>
      </c>
      <c r="AK65" s="9">
        <f t="shared" si="16"/>
        <v>3.851999999999999</v>
      </c>
      <c r="AL65" s="9">
        <f t="shared" si="17"/>
        <v>-1.7649999999999999</v>
      </c>
      <c r="AM65" s="12">
        <f t="shared" si="18"/>
        <v>9.7669999999999977</v>
      </c>
    </row>
    <row r="66" spans="1:39" x14ac:dyDescent="0.25">
      <c r="A66">
        <v>99996</v>
      </c>
      <c r="B66" t="s">
        <v>51</v>
      </c>
      <c r="C66" s="13">
        <v>7212</v>
      </c>
      <c r="D66" s="13">
        <v>954</v>
      </c>
      <c r="E66" s="13">
        <v>984</v>
      </c>
      <c r="F66" s="13">
        <v>4483</v>
      </c>
      <c r="G66" s="13">
        <v>1508</v>
      </c>
      <c r="H66" s="13">
        <v>907</v>
      </c>
      <c r="J66" s="13">
        <v>5946</v>
      </c>
      <c r="K66" s="13">
        <v>953</v>
      </c>
      <c r="L66" s="13">
        <v>498</v>
      </c>
      <c r="M66" s="13">
        <v>3419</v>
      </c>
      <c r="N66" s="13">
        <v>1992</v>
      </c>
      <c r="O66" s="13">
        <v>1062</v>
      </c>
      <c r="Q66" s="3">
        <f t="shared" si="0"/>
        <v>1.266</v>
      </c>
      <c r="R66" s="3">
        <f t="shared" si="1"/>
        <v>1E-3</v>
      </c>
      <c r="S66" s="3">
        <f t="shared" si="2"/>
        <v>0.48599999999999999</v>
      </c>
      <c r="T66" s="3">
        <f t="shared" si="3"/>
        <v>-0.48399999999999999</v>
      </c>
      <c r="U66" s="3"/>
      <c r="V66" s="3">
        <f t="shared" si="4"/>
        <v>1.0640000000000001</v>
      </c>
      <c r="W66" s="3">
        <f t="shared" si="5"/>
        <v>-0.155</v>
      </c>
      <c r="Y66" s="3">
        <f t="shared" si="6"/>
        <v>1.2689999999999999</v>
      </c>
      <c r="Z66" s="3">
        <f t="shared" si="7"/>
        <v>0.90900000000000003</v>
      </c>
      <c r="AA66" s="3">
        <f t="shared" si="8"/>
        <v>2.1780000000000004</v>
      </c>
      <c r="AB66" s="3"/>
      <c r="AC66" s="2" t="str">
        <f t="shared" si="10"/>
        <v>1981-06</v>
      </c>
      <c r="AD66" s="9">
        <f t="shared" si="11"/>
        <v>14.529999999999998</v>
      </c>
      <c r="AE66" s="9">
        <f t="shared" si="12"/>
        <v>5.9729999999999999</v>
      </c>
      <c r="AF66" s="9">
        <f t="shared" si="13"/>
        <v>20.503</v>
      </c>
      <c r="AG66" s="9"/>
      <c r="AH66" s="10">
        <v>29738</v>
      </c>
      <c r="AI66" s="9">
        <f t="shared" si="14"/>
        <v>9.8950000000000014</v>
      </c>
      <c r="AJ66" s="9">
        <f t="shared" si="15"/>
        <v>2.5959999999999996</v>
      </c>
      <c r="AK66" s="9">
        <f t="shared" si="16"/>
        <v>3.6680000000000001</v>
      </c>
      <c r="AL66" s="9">
        <f t="shared" si="17"/>
        <v>-1.629</v>
      </c>
      <c r="AM66" s="12">
        <f t="shared" si="18"/>
        <v>10.607999999999999</v>
      </c>
    </row>
    <row r="67" spans="1:39" x14ac:dyDescent="0.25">
      <c r="A67">
        <v>99996</v>
      </c>
      <c r="B67" t="s">
        <v>52</v>
      </c>
      <c r="C67" s="13">
        <v>4125</v>
      </c>
      <c r="D67" s="13">
        <v>930</v>
      </c>
      <c r="E67" s="13">
        <v>1001</v>
      </c>
      <c r="F67" s="13">
        <v>3465</v>
      </c>
      <c r="G67" s="13">
        <v>1514</v>
      </c>
      <c r="H67" s="13">
        <v>902</v>
      </c>
      <c r="J67" s="13">
        <v>2976</v>
      </c>
      <c r="K67" s="13">
        <v>582</v>
      </c>
      <c r="L67" s="13">
        <v>274</v>
      </c>
      <c r="M67" s="13">
        <v>3265</v>
      </c>
      <c r="N67" s="13">
        <v>2194</v>
      </c>
      <c r="O67" s="13">
        <v>843</v>
      </c>
      <c r="Q67" s="3">
        <f t="shared" si="0"/>
        <v>1.149</v>
      </c>
      <c r="R67" s="3">
        <f t="shared" si="1"/>
        <v>0.34799999999999998</v>
      </c>
      <c r="S67" s="3">
        <f t="shared" si="2"/>
        <v>0.72699999999999998</v>
      </c>
      <c r="T67" s="3">
        <f t="shared" si="3"/>
        <v>-0.68</v>
      </c>
      <c r="U67" s="3"/>
      <c r="V67" s="3">
        <f t="shared" si="4"/>
        <v>0.2</v>
      </c>
      <c r="W67" s="3">
        <f t="shared" si="5"/>
        <v>5.8999999999999997E-2</v>
      </c>
      <c r="Y67" s="3">
        <f t="shared" si="6"/>
        <v>1.5439999999999996</v>
      </c>
      <c r="Z67" s="3">
        <f t="shared" si="7"/>
        <v>0.25900000000000001</v>
      </c>
      <c r="AA67" s="3">
        <f t="shared" si="8"/>
        <v>1.8029999999999995</v>
      </c>
      <c r="AB67" s="3"/>
      <c r="AC67" s="2" t="str">
        <f t="shared" si="10"/>
        <v>1981-07</v>
      </c>
      <c r="AD67" s="9">
        <f t="shared" si="11"/>
        <v>14.224999999999998</v>
      </c>
      <c r="AE67" s="9">
        <f t="shared" si="12"/>
        <v>6.003000000000001</v>
      </c>
      <c r="AF67" s="9">
        <f t="shared" si="13"/>
        <v>20.228000000000002</v>
      </c>
      <c r="AG67" s="9"/>
      <c r="AH67" s="10">
        <v>29768</v>
      </c>
      <c r="AI67" s="9">
        <f t="shared" si="14"/>
        <v>10.353000000000002</v>
      </c>
      <c r="AJ67" s="9">
        <f t="shared" si="15"/>
        <v>2.4619999999999993</v>
      </c>
      <c r="AK67" s="9">
        <f t="shared" si="16"/>
        <v>4.04</v>
      </c>
      <c r="AL67" s="9">
        <f t="shared" si="17"/>
        <v>-2.63</v>
      </c>
      <c r="AM67" s="12">
        <f t="shared" si="18"/>
        <v>9.875</v>
      </c>
    </row>
    <row r="68" spans="1:39" x14ac:dyDescent="0.25">
      <c r="A68">
        <v>99996</v>
      </c>
      <c r="B68" t="s">
        <v>53</v>
      </c>
      <c r="C68" s="13">
        <v>4977</v>
      </c>
      <c r="D68" s="13">
        <v>642</v>
      </c>
      <c r="E68" s="13">
        <v>556</v>
      </c>
      <c r="F68" s="13">
        <v>3157</v>
      </c>
      <c r="G68" s="13">
        <v>1082</v>
      </c>
      <c r="H68" s="13">
        <v>838</v>
      </c>
      <c r="J68" s="13">
        <v>3177</v>
      </c>
      <c r="K68" s="13">
        <v>596</v>
      </c>
      <c r="L68" s="13">
        <v>324</v>
      </c>
      <c r="M68" s="13">
        <v>3210</v>
      </c>
      <c r="N68" s="13">
        <v>1121</v>
      </c>
      <c r="O68" s="13">
        <v>825</v>
      </c>
      <c r="Q68" s="3">
        <f t="shared" si="0"/>
        <v>1.8</v>
      </c>
      <c r="R68" s="3">
        <f t="shared" si="1"/>
        <v>4.5999999999999999E-2</v>
      </c>
      <c r="S68" s="3">
        <f t="shared" si="2"/>
        <v>0.23200000000000001</v>
      </c>
      <c r="T68" s="3">
        <f t="shared" si="3"/>
        <v>-3.9E-2</v>
      </c>
      <c r="U68" s="3"/>
      <c r="V68" s="3">
        <f t="shared" si="4"/>
        <v>-5.2999999999999999E-2</v>
      </c>
      <c r="W68" s="3">
        <f t="shared" si="5"/>
        <v>1.2999999999999999E-2</v>
      </c>
      <c r="Y68" s="3">
        <f t="shared" si="6"/>
        <v>2.0390000000000001</v>
      </c>
      <c r="Z68" s="3">
        <f t="shared" si="7"/>
        <v>-0.04</v>
      </c>
      <c r="AA68" s="3">
        <f t="shared" si="8"/>
        <v>1.9990000000000001</v>
      </c>
      <c r="AB68" s="3"/>
      <c r="AC68" s="2" t="str">
        <f t="shared" si="10"/>
        <v>1981-08</v>
      </c>
      <c r="AD68" s="9">
        <f t="shared" si="11"/>
        <v>16.824999999999999</v>
      </c>
      <c r="AE68" s="9">
        <f t="shared" si="12"/>
        <v>5.9620000000000006</v>
      </c>
      <c r="AF68" s="9">
        <f t="shared" si="13"/>
        <v>22.786999999999999</v>
      </c>
      <c r="AG68" s="9"/>
      <c r="AH68" s="10">
        <v>29799</v>
      </c>
      <c r="AI68" s="9">
        <f t="shared" si="14"/>
        <v>12.920000000000002</v>
      </c>
      <c r="AJ68" s="9">
        <f t="shared" si="15"/>
        <v>2.3339999999999996</v>
      </c>
      <c r="AK68" s="9">
        <f t="shared" si="16"/>
        <v>3.9489999999999994</v>
      </c>
      <c r="AL68" s="9">
        <f t="shared" si="17"/>
        <v>-2.3780000000000001</v>
      </c>
      <c r="AM68" s="12">
        <f t="shared" si="18"/>
        <v>9.8669999999999973</v>
      </c>
    </row>
    <row r="69" spans="1:39" x14ac:dyDescent="0.25">
      <c r="A69">
        <v>99996</v>
      </c>
      <c r="B69" t="s">
        <v>54</v>
      </c>
      <c r="C69" s="13">
        <v>5689</v>
      </c>
      <c r="D69" s="13">
        <v>847</v>
      </c>
      <c r="E69" s="13">
        <v>493</v>
      </c>
      <c r="F69" s="13">
        <v>2864</v>
      </c>
      <c r="G69" s="13">
        <v>1023</v>
      </c>
      <c r="H69" s="13">
        <v>828</v>
      </c>
      <c r="J69" s="13">
        <v>4433</v>
      </c>
      <c r="K69" s="13">
        <v>611</v>
      </c>
      <c r="L69" s="13">
        <v>474</v>
      </c>
      <c r="M69" s="13">
        <v>2327</v>
      </c>
      <c r="N69" s="13">
        <v>1277</v>
      </c>
      <c r="O69" s="13">
        <v>624</v>
      </c>
      <c r="Q69" s="3">
        <f t="shared" si="0"/>
        <v>1.256</v>
      </c>
      <c r="R69" s="3">
        <f t="shared" si="1"/>
        <v>0.23599999999999999</v>
      </c>
      <c r="S69" s="3">
        <f t="shared" si="2"/>
        <v>1.9E-2</v>
      </c>
      <c r="T69" s="3">
        <f t="shared" si="3"/>
        <v>-0.254</v>
      </c>
      <c r="U69" s="3"/>
      <c r="V69" s="3">
        <f t="shared" si="4"/>
        <v>0.53700000000000003</v>
      </c>
      <c r="W69" s="3">
        <f t="shared" si="5"/>
        <v>0.20399999999999999</v>
      </c>
      <c r="Y69" s="3">
        <f t="shared" si="6"/>
        <v>1.2569999999999999</v>
      </c>
      <c r="Z69" s="3">
        <f t="shared" si="7"/>
        <v>0.74099999999999999</v>
      </c>
      <c r="AA69" s="3">
        <f t="shared" si="8"/>
        <v>1.998</v>
      </c>
      <c r="AB69" s="3"/>
      <c r="AC69" s="2" t="str">
        <f t="shared" si="10"/>
        <v>1981-09</v>
      </c>
      <c r="AD69" s="9">
        <f t="shared" si="11"/>
        <v>16.265999999999998</v>
      </c>
      <c r="AE69" s="9">
        <f t="shared" si="12"/>
        <v>7.016</v>
      </c>
      <c r="AF69" s="9">
        <f t="shared" si="13"/>
        <v>23.282</v>
      </c>
      <c r="AG69" s="9"/>
      <c r="AH69" s="10">
        <v>29830</v>
      </c>
      <c r="AI69" s="9">
        <f t="shared" si="14"/>
        <v>12.424000000000003</v>
      </c>
      <c r="AJ69" s="9">
        <f t="shared" si="15"/>
        <v>2.5859999999999994</v>
      </c>
      <c r="AK69" s="9">
        <f t="shared" si="16"/>
        <v>3.7740000000000005</v>
      </c>
      <c r="AL69" s="9">
        <f t="shared" si="17"/>
        <v>-2.5180000000000002</v>
      </c>
      <c r="AM69" s="12">
        <f t="shared" si="18"/>
        <v>10.857999999999997</v>
      </c>
    </row>
    <row r="70" spans="1:39" x14ac:dyDescent="0.25">
      <c r="A70">
        <v>99996</v>
      </c>
      <c r="B70" t="s">
        <v>55</v>
      </c>
      <c r="C70" s="13">
        <v>4351</v>
      </c>
      <c r="D70" s="13">
        <v>760</v>
      </c>
      <c r="E70" s="13">
        <v>416</v>
      </c>
      <c r="F70" s="13">
        <v>2841</v>
      </c>
      <c r="G70" s="13">
        <v>1553</v>
      </c>
      <c r="H70" s="13">
        <v>601</v>
      </c>
      <c r="J70" s="13">
        <v>2876</v>
      </c>
      <c r="K70" s="13">
        <v>839</v>
      </c>
      <c r="L70" s="13">
        <v>364</v>
      </c>
      <c r="M70" s="13">
        <v>2793</v>
      </c>
      <c r="N70" s="13">
        <v>1663</v>
      </c>
      <c r="O70" s="13">
        <v>641</v>
      </c>
      <c r="Q70" s="3">
        <f t="shared" si="0"/>
        <v>1.4750000000000001</v>
      </c>
      <c r="R70" s="3">
        <f t="shared" si="1"/>
        <v>-7.9000000000000001E-2</v>
      </c>
      <c r="S70" s="3">
        <f t="shared" si="2"/>
        <v>5.1999999999999998E-2</v>
      </c>
      <c r="T70" s="3">
        <f t="shared" si="3"/>
        <v>-0.11</v>
      </c>
      <c r="U70" s="3"/>
      <c r="V70" s="3">
        <f t="shared" si="4"/>
        <v>4.8000000000000001E-2</v>
      </c>
      <c r="W70" s="3">
        <f t="shared" si="5"/>
        <v>-0.04</v>
      </c>
      <c r="Y70" s="3">
        <f t="shared" si="6"/>
        <v>1.3380000000000001</v>
      </c>
      <c r="Z70" s="3">
        <f t="shared" si="7"/>
        <v>8.0000000000000002E-3</v>
      </c>
      <c r="AA70" s="3">
        <f t="shared" si="8"/>
        <v>1.3460000000000001</v>
      </c>
      <c r="AB70" s="3"/>
      <c r="AC70" s="2" t="str">
        <f t="shared" si="10"/>
        <v>1981-10</v>
      </c>
      <c r="AD70" s="9">
        <f t="shared" si="11"/>
        <v>16.282</v>
      </c>
      <c r="AE70" s="9">
        <f t="shared" si="12"/>
        <v>6.8549999999999995</v>
      </c>
      <c r="AF70" s="9">
        <f t="shared" si="13"/>
        <v>23.137</v>
      </c>
      <c r="AG70" s="9"/>
      <c r="AH70" s="10">
        <v>29860</v>
      </c>
      <c r="AI70" s="9">
        <f t="shared" si="14"/>
        <v>13.218999999999999</v>
      </c>
      <c r="AJ70" s="9">
        <f t="shared" si="15"/>
        <v>1.9570000000000001</v>
      </c>
      <c r="AK70" s="9">
        <f t="shared" si="16"/>
        <v>3.5230000000000006</v>
      </c>
      <c r="AL70" s="9">
        <f t="shared" si="17"/>
        <v>-2.4170000000000003</v>
      </c>
      <c r="AM70" s="12">
        <f t="shared" si="18"/>
        <v>9.918000000000001</v>
      </c>
    </row>
    <row r="71" spans="1:39" x14ac:dyDescent="0.25">
      <c r="A71">
        <v>99996</v>
      </c>
      <c r="B71" t="s">
        <v>56</v>
      </c>
      <c r="C71" s="13">
        <v>9735</v>
      </c>
      <c r="D71" s="13">
        <v>465</v>
      </c>
      <c r="E71" s="13">
        <v>634</v>
      </c>
      <c r="F71" s="13">
        <v>2694</v>
      </c>
      <c r="G71" s="13">
        <v>2298</v>
      </c>
      <c r="H71" s="13">
        <v>635</v>
      </c>
      <c r="J71" s="13">
        <v>7801</v>
      </c>
      <c r="K71" s="13">
        <v>671</v>
      </c>
      <c r="L71" s="13">
        <v>637</v>
      </c>
      <c r="M71" s="13">
        <v>2497</v>
      </c>
      <c r="N71" s="13">
        <v>4256</v>
      </c>
      <c r="O71" s="13">
        <v>765</v>
      </c>
      <c r="Q71" s="3">
        <f t="shared" si="0"/>
        <v>1.9339999999999999</v>
      </c>
      <c r="R71" s="3">
        <f t="shared" si="1"/>
        <v>-0.20599999999999999</v>
      </c>
      <c r="S71" s="3">
        <f t="shared" si="2"/>
        <v>-3.0000000000000001E-3</v>
      </c>
      <c r="T71" s="3">
        <f t="shared" si="3"/>
        <v>-1.958</v>
      </c>
      <c r="U71" s="3"/>
      <c r="V71" s="3">
        <f t="shared" si="4"/>
        <v>0.19700000000000001</v>
      </c>
      <c r="W71" s="3">
        <f t="shared" si="5"/>
        <v>-0.13</v>
      </c>
      <c r="Y71" s="3">
        <f t="shared" si="6"/>
        <v>-0.23299999999999987</v>
      </c>
      <c r="Z71" s="3">
        <f t="shared" si="7"/>
        <v>6.7000000000000004E-2</v>
      </c>
      <c r="AA71" s="3">
        <f t="shared" si="8"/>
        <v>-0.16599999999999987</v>
      </c>
      <c r="AB71" s="3"/>
      <c r="AC71" s="2" t="str">
        <f t="shared" si="10"/>
        <v>1981-11</v>
      </c>
      <c r="AD71" s="9">
        <f t="shared" si="11"/>
        <v>14.998999999999999</v>
      </c>
      <c r="AE71" s="9">
        <f t="shared" si="12"/>
        <v>5.9040000000000008</v>
      </c>
      <c r="AF71" s="9">
        <f t="shared" si="13"/>
        <v>20.903000000000002</v>
      </c>
      <c r="AG71" s="9"/>
      <c r="AH71" s="10">
        <v>29891</v>
      </c>
      <c r="AI71" s="9">
        <f t="shared" si="14"/>
        <v>14.488</v>
      </c>
      <c r="AJ71" s="9">
        <f t="shared" si="15"/>
        <v>1.5429999999999999</v>
      </c>
      <c r="AK71" s="9">
        <f t="shared" si="16"/>
        <v>3.4380000000000002</v>
      </c>
      <c r="AL71" s="9">
        <f t="shared" si="17"/>
        <v>-4.47</v>
      </c>
      <c r="AM71" s="12">
        <f t="shared" si="18"/>
        <v>6.4150000000000027</v>
      </c>
    </row>
    <row r="72" spans="1:39" x14ac:dyDescent="0.25">
      <c r="A72">
        <v>99996</v>
      </c>
      <c r="B72" t="s">
        <v>57</v>
      </c>
      <c r="C72" s="13">
        <v>6833</v>
      </c>
      <c r="D72" s="13">
        <v>558</v>
      </c>
      <c r="E72" s="13">
        <v>649</v>
      </c>
      <c r="F72" s="13">
        <v>2942</v>
      </c>
      <c r="G72" s="13">
        <v>1989</v>
      </c>
      <c r="H72" s="13">
        <v>707</v>
      </c>
      <c r="J72" s="13">
        <v>6069</v>
      </c>
      <c r="K72" s="13">
        <v>573</v>
      </c>
      <c r="L72" s="13">
        <v>485</v>
      </c>
      <c r="M72" s="13">
        <v>2742</v>
      </c>
      <c r="N72" s="13">
        <v>2759</v>
      </c>
      <c r="O72" s="13">
        <v>654</v>
      </c>
      <c r="Q72" s="3">
        <f t="shared" si="0"/>
        <v>0.76400000000000001</v>
      </c>
      <c r="R72" s="3">
        <f t="shared" si="1"/>
        <v>-1.4999999999999999E-2</v>
      </c>
      <c r="S72" s="3">
        <f t="shared" si="2"/>
        <v>0.16400000000000001</v>
      </c>
      <c r="T72" s="3">
        <f t="shared" si="3"/>
        <v>-0.77</v>
      </c>
      <c r="U72" s="3"/>
      <c r="V72" s="3">
        <f t="shared" si="4"/>
        <v>0.2</v>
      </c>
      <c r="W72" s="3">
        <f t="shared" si="5"/>
        <v>5.2999999999999999E-2</v>
      </c>
      <c r="Y72" s="3">
        <f t="shared" si="6"/>
        <v>0.14300000000000002</v>
      </c>
      <c r="Z72" s="3">
        <f t="shared" si="7"/>
        <v>0.253</v>
      </c>
      <c r="AA72" s="3">
        <f t="shared" si="8"/>
        <v>0.39600000000000002</v>
      </c>
      <c r="AB72" s="3"/>
      <c r="AC72" s="2" t="str">
        <f t="shared" si="10"/>
        <v>1981-12</v>
      </c>
      <c r="AD72" s="9">
        <f t="shared" si="11"/>
        <v>14.629999999999999</v>
      </c>
      <c r="AE72" s="9">
        <f t="shared" si="12"/>
        <v>5.5860000000000003</v>
      </c>
      <c r="AF72" s="9">
        <f t="shared" si="13"/>
        <v>20.216000000000001</v>
      </c>
      <c r="AG72" s="9"/>
      <c r="AH72" s="10">
        <v>29921</v>
      </c>
      <c r="AI72" s="9">
        <f t="shared" si="14"/>
        <v>15.054999999999998</v>
      </c>
      <c r="AJ72" s="9">
        <f t="shared" si="15"/>
        <v>1.5640000000000001</v>
      </c>
      <c r="AK72" s="9">
        <f t="shared" si="16"/>
        <v>3.4690000000000003</v>
      </c>
      <c r="AL72" s="9">
        <f t="shared" si="17"/>
        <v>-5.4580000000000002</v>
      </c>
      <c r="AM72" s="12">
        <f t="shared" si="18"/>
        <v>5.1610000000000031</v>
      </c>
    </row>
    <row r="73" spans="1:39" x14ac:dyDescent="0.25">
      <c r="A73">
        <v>99996</v>
      </c>
      <c r="B73" t="s">
        <v>58</v>
      </c>
      <c r="C73" s="13">
        <v>3757</v>
      </c>
      <c r="D73" s="13">
        <v>505</v>
      </c>
      <c r="E73" s="13">
        <v>442</v>
      </c>
      <c r="F73" s="13">
        <v>2020</v>
      </c>
      <c r="G73" s="13">
        <v>1226</v>
      </c>
      <c r="H73" s="13">
        <v>526</v>
      </c>
      <c r="J73" s="13">
        <v>2471</v>
      </c>
      <c r="K73" s="13">
        <v>487</v>
      </c>
      <c r="L73" s="13">
        <v>291</v>
      </c>
      <c r="M73" s="13">
        <v>1756</v>
      </c>
      <c r="N73" s="13">
        <v>1334</v>
      </c>
      <c r="O73" s="13">
        <v>390</v>
      </c>
      <c r="Q73" s="3">
        <f t="shared" si="0"/>
        <v>1.286</v>
      </c>
      <c r="R73" s="3">
        <f t="shared" si="1"/>
        <v>1.7999999999999999E-2</v>
      </c>
      <c r="S73" s="3">
        <f t="shared" si="2"/>
        <v>0.151</v>
      </c>
      <c r="T73" s="3">
        <f t="shared" si="3"/>
        <v>-0.108</v>
      </c>
      <c r="U73" s="3"/>
      <c r="V73" s="3">
        <f t="shared" si="4"/>
        <v>0.26400000000000001</v>
      </c>
      <c r="W73" s="3">
        <f t="shared" si="5"/>
        <v>0.13600000000000001</v>
      </c>
      <c r="Y73" s="3">
        <f t="shared" si="6"/>
        <v>1.347</v>
      </c>
      <c r="Z73" s="3">
        <f t="shared" si="7"/>
        <v>0.4</v>
      </c>
      <c r="AA73" s="3">
        <f t="shared" si="8"/>
        <v>1.7469999999999999</v>
      </c>
      <c r="AB73" s="3"/>
      <c r="AC73" s="2" t="str">
        <f t="shared" si="10"/>
        <v>1982-01</v>
      </c>
      <c r="AD73" s="9">
        <f t="shared" si="11"/>
        <v>14.493</v>
      </c>
      <c r="AE73" s="9">
        <f t="shared" si="12"/>
        <v>5.346000000000001</v>
      </c>
      <c r="AF73" s="9">
        <f t="shared" si="13"/>
        <v>19.839000000000002</v>
      </c>
      <c r="AG73" s="9"/>
      <c r="AH73" s="10">
        <v>29952</v>
      </c>
      <c r="AI73" s="9">
        <f t="shared" si="14"/>
        <v>15.305999999999997</v>
      </c>
      <c r="AJ73" s="9">
        <f t="shared" si="15"/>
        <v>1.1690000000000003</v>
      </c>
      <c r="AK73" s="9">
        <f t="shared" si="16"/>
        <v>3.3439999999999999</v>
      </c>
      <c r="AL73" s="9">
        <f t="shared" si="17"/>
        <v>-5.3259999999999996</v>
      </c>
      <c r="AM73" s="12">
        <f t="shared" si="18"/>
        <v>4.5330000000000048</v>
      </c>
    </row>
    <row r="74" spans="1:39" x14ac:dyDescent="0.25">
      <c r="A74">
        <v>99996</v>
      </c>
      <c r="B74" t="s">
        <v>59</v>
      </c>
      <c r="C74" s="13">
        <v>6477</v>
      </c>
      <c r="D74" s="13">
        <v>479</v>
      </c>
      <c r="E74" s="13">
        <v>450</v>
      </c>
      <c r="F74" s="13">
        <v>2525</v>
      </c>
      <c r="G74" s="13">
        <v>1518</v>
      </c>
      <c r="H74" s="13">
        <v>521</v>
      </c>
      <c r="J74" s="13">
        <v>4159</v>
      </c>
      <c r="K74" s="13">
        <v>533</v>
      </c>
      <c r="L74" s="13">
        <v>403</v>
      </c>
      <c r="M74" s="13">
        <v>1989</v>
      </c>
      <c r="N74" s="13">
        <v>1646</v>
      </c>
      <c r="O74" s="13">
        <v>487</v>
      </c>
      <c r="Q74" s="3">
        <f t="shared" si="0"/>
        <v>2.3180000000000001</v>
      </c>
      <c r="R74" s="3">
        <f t="shared" si="1"/>
        <v>-5.3999999999999999E-2</v>
      </c>
      <c r="S74" s="3">
        <f t="shared" si="2"/>
        <v>4.7E-2</v>
      </c>
      <c r="T74" s="3">
        <f t="shared" si="3"/>
        <v>-0.128</v>
      </c>
      <c r="U74" s="3"/>
      <c r="V74" s="3">
        <f t="shared" si="4"/>
        <v>0.53600000000000003</v>
      </c>
      <c r="W74" s="3">
        <f t="shared" si="5"/>
        <v>3.4000000000000002E-2</v>
      </c>
      <c r="Y74" s="3">
        <f t="shared" si="6"/>
        <v>2.1830000000000003</v>
      </c>
      <c r="Z74" s="3">
        <f t="shared" si="7"/>
        <v>0.57000000000000006</v>
      </c>
      <c r="AA74" s="3">
        <f t="shared" si="8"/>
        <v>2.7530000000000001</v>
      </c>
      <c r="AB74" s="3"/>
      <c r="AC74" s="2" t="str">
        <f t="shared" si="10"/>
        <v>1982-02</v>
      </c>
      <c r="AD74" s="9">
        <f t="shared" si="11"/>
        <v>14.33</v>
      </c>
      <c r="AE74" s="9">
        <f t="shared" si="12"/>
        <v>5.5050000000000008</v>
      </c>
      <c r="AF74" s="9">
        <f t="shared" si="13"/>
        <v>19.835000000000001</v>
      </c>
      <c r="AG74" s="9"/>
      <c r="AH74" s="10">
        <v>29983</v>
      </c>
      <c r="AI74" s="9">
        <f t="shared" si="14"/>
        <v>15.854999999999997</v>
      </c>
      <c r="AJ74" s="9">
        <f t="shared" si="15"/>
        <v>0.97100000000000009</v>
      </c>
      <c r="AK74" s="9">
        <f t="shared" si="16"/>
        <v>2.9980000000000002</v>
      </c>
      <c r="AL74" s="9">
        <f t="shared" si="17"/>
        <v>-5.4940000000000007</v>
      </c>
      <c r="AM74" s="12">
        <f t="shared" si="18"/>
        <v>3.980000000000004</v>
      </c>
    </row>
    <row r="75" spans="1:39" x14ac:dyDescent="0.25">
      <c r="A75">
        <v>99996</v>
      </c>
      <c r="B75" t="s">
        <v>60</v>
      </c>
      <c r="C75" s="13">
        <v>7686</v>
      </c>
      <c r="D75" s="13">
        <v>792</v>
      </c>
      <c r="E75" s="13">
        <v>815</v>
      </c>
      <c r="F75" s="13">
        <v>2642</v>
      </c>
      <c r="G75" s="13">
        <v>2519</v>
      </c>
      <c r="H75" s="13">
        <v>696</v>
      </c>
      <c r="J75" s="13">
        <v>5673</v>
      </c>
      <c r="K75" s="13">
        <v>825</v>
      </c>
      <c r="L75" s="13">
        <v>683</v>
      </c>
      <c r="M75" s="13">
        <v>2510</v>
      </c>
      <c r="N75" s="13">
        <v>3110</v>
      </c>
      <c r="O75" s="13">
        <v>668</v>
      </c>
      <c r="Q75" s="3">
        <f t="shared" si="0"/>
        <v>2.0129999999999999</v>
      </c>
      <c r="R75" s="3">
        <f t="shared" si="1"/>
        <v>-3.3000000000000002E-2</v>
      </c>
      <c r="S75" s="3">
        <f t="shared" si="2"/>
        <v>0.13200000000000001</v>
      </c>
      <c r="T75" s="3">
        <f t="shared" si="3"/>
        <v>-0.59099999999999997</v>
      </c>
      <c r="U75" s="3"/>
      <c r="V75" s="3">
        <f t="shared" si="4"/>
        <v>0.13200000000000001</v>
      </c>
      <c r="W75" s="3">
        <f t="shared" si="5"/>
        <v>2.8000000000000001E-2</v>
      </c>
      <c r="Y75" s="3">
        <f t="shared" si="6"/>
        <v>1.5210000000000001</v>
      </c>
      <c r="Z75" s="3">
        <f t="shared" si="7"/>
        <v>0.16</v>
      </c>
      <c r="AA75" s="3">
        <f t="shared" si="8"/>
        <v>1.681</v>
      </c>
      <c r="AB75" s="3"/>
      <c r="AC75" s="2" t="str">
        <f t="shared" si="10"/>
        <v>1982-03</v>
      </c>
      <c r="AD75" s="9">
        <f t="shared" si="11"/>
        <v>13.644</v>
      </c>
      <c r="AE75" s="9">
        <f t="shared" si="12"/>
        <v>5.213000000000001</v>
      </c>
      <c r="AF75" s="9">
        <f t="shared" si="13"/>
        <v>18.857000000000003</v>
      </c>
      <c r="AG75" s="9"/>
      <c r="AH75" s="10">
        <v>30011</v>
      </c>
      <c r="AI75" s="9">
        <f t="shared" si="14"/>
        <v>16.342999999999996</v>
      </c>
      <c r="AJ75" s="9">
        <f t="shared" si="15"/>
        <v>0.91399999999999981</v>
      </c>
      <c r="AK75" s="9">
        <f t="shared" si="16"/>
        <v>2.3519999999999999</v>
      </c>
      <c r="AL75" s="9">
        <f t="shared" si="17"/>
        <v>-5.9649999999999999</v>
      </c>
      <c r="AM75" s="12">
        <f t="shared" si="18"/>
        <v>2.5140000000000065</v>
      </c>
    </row>
    <row r="76" spans="1:39" x14ac:dyDescent="0.25">
      <c r="A76">
        <v>99996</v>
      </c>
      <c r="B76" t="s">
        <v>61</v>
      </c>
      <c r="C76" s="13">
        <v>6235</v>
      </c>
      <c r="D76" s="13">
        <v>979</v>
      </c>
      <c r="E76" s="13">
        <v>1239</v>
      </c>
      <c r="F76" s="13">
        <v>2360</v>
      </c>
      <c r="G76" s="13">
        <v>2205</v>
      </c>
      <c r="H76" s="13">
        <v>385</v>
      </c>
      <c r="J76" s="13">
        <v>4782</v>
      </c>
      <c r="K76" s="13">
        <v>714</v>
      </c>
      <c r="L76" s="13">
        <v>840</v>
      </c>
      <c r="M76" s="13">
        <v>2108</v>
      </c>
      <c r="N76" s="13">
        <v>2253</v>
      </c>
      <c r="O76" s="13">
        <v>452</v>
      </c>
      <c r="Q76" s="3">
        <f t="shared" si="0"/>
        <v>1.4530000000000001</v>
      </c>
      <c r="R76" s="3">
        <f t="shared" si="1"/>
        <v>0.26500000000000001</v>
      </c>
      <c r="S76" s="3">
        <f t="shared" si="2"/>
        <v>0.39900000000000002</v>
      </c>
      <c r="T76" s="3">
        <f t="shared" si="3"/>
        <v>-4.8000000000000001E-2</v>
      </c>
      <c r="U76" s="3"/>
      <c r="V76" s="3">
        <f t="shared" si="4"/>
        <v>0.252</v>
      </c>
      <c r="W76" s="3">
        <f t="shared" si="5"/>
        <v>-6.7000000000000004E-2</v>
      </c>
      <c r="Y76" s="3">
        <f t="shared" si="6"/>
        <v>2.069</v>
      </c>
      <c r="Z76" s="3">
        <f t="shared" si="7"/>
        <v>0.185</v>
      </c>
      <c r="AA76" s="3">
        <f t="shared" si="8"/>
        <v>2.2539999999999996</v>
      </c>
      <c r="AB76" s="3"/>
      <c r="AC76" s="2" t="str">
        <f t="shared" si="10"/>
        <v>1982-04</v>
      </c>
      <c r="AD76" s="9">
        <f t="shared" si="11"/>
        <v>15.208000000000002</v>
      </c>
      <c r="AE76" s="9">
        <f t="shared" si="12"/>
        <v>4.7859999999999996</v>
      </c>
      <c r="AF76" s="9">
        <f t="shared" si="13"/>
        <v>19.994</v>
      </c>
      <c r="AG76" s="9"/>
      <c r="AH76" s="10">
        <v>30042</v>
      </c>
      <c r="AI76" s="9">
        <f t="shared" si="14"/>
        <v>17.427999999999997</v>
      </c>
      <c r="AJ76" s="9">
        <f t="shared" si="15"/>
        <v>0.56100000000000017</v>
      </c>
      <c r="AK76" s="9">
        <f t="shared" si="16"/>
        <v>2.601</v>
      </c>
      <c r="AL76" s="9">
        <f t="shared" si="17"/>
        <v>-5.3819999999999997</v>
      </c>
      <c r="AM76" s="12">
        <f t="shared" si="18"/>
        <v>2.5660000000000025</v>
      </c>
    </row>
    <row r="77" spans="1:39" x14ac:dyDescent="0.25">
      <c r="A77">
        <v>99996</v>
      </c>
      <c r="B77" t="s">
        <v>62</v>
      </c>
      <c r="C77" s="13">
        <v>7101</v>
      </c>
      <c r="D77" s="13">
        <v>804</v>
      </c>
      <c r="E77" s="13">
        <v>1223</v>
      </c>
      <c r="F77" s="13">
        <v>2622</v>
      </c>
      <c r="G77" s="13">
        <v>2755</v>
      </c>
      <c r="H77" s="13">
        <v>486</v>
      </c>
      <c r="J77" s="13">
        <v>6079</v>
      </c>
      <c r="K77" s="13">
        <v>713</v>
      </c>
      <c r="L77" s="13">
        <v>490</v>
      </c>
      <c r="M77" s="13">
        <v>2186</v>
      </c>
      <c r="N77" s="13">
        <v>2321</v>
      </c>
      <c r="O77" s="13">
        <v>605</v>
      </c>
      <c r="Q77" s="3">
        <f t="shared" ref="Q77:Q140" si="19">(C77-J77)/1000</f>
        <v>1.022</v>
      </c>
      <c r="R77" s="3">
        <f t="shared" ref="R77:R140" si="20">(D77-K77)/1000</f>
        <v>9.0999999999999998E-2</v>
      </c>
      <c r="S77" s="3">
        <f t="shared" ref="S77:S140" si="21">(E77-L77)/1000</f>
        <v>0.73299999999999998</v>
      </c>
      <c r="T77" s="3">
        <f t="shared" ref="T77:T140" si="22">(G77-N77)/1000</f>
        <v>0.434</v>
      </c>
      <c r="U77" s="3"/>
      <c r="V77" s="3">
        <f t="shared" ref="V77:V140" si="23">(F77-M77)/1000</f>
        <v>0.436</v>
      </c>
      <c r="W77" s="3">
        <f t="shared" ref="W77:W140" si="24">(H77-O77)/1000</f>
        <v>-0.11899999999999999</v>
      </c>
      <c r="Y77" s="3">
        <f t="shared" ref="Y77:Y140" si="25">SUM(Q77:T77)</f>
        <v>2.2800000000000002</v>
      </c>
      <c r="Z77" s="3">
        <f t="shared" ref="Z77:Z140" si="26">V77+W77</f>
        <v>0.317</v>
      </c>
      <c r="AA77" s="3">
        <f t="shared" ref="AA77:AA140" si="27">SUM(Q77:W77)</f>
        <v>2.5970000000000004</v>
      </c>
      <c r="AB77" s="3"/>
      <c r="AC77" s="2" t="str">
        <f t="shared" si="10"/>
        <v>1982-05</v>
      </c>
      <c r="AD77" s="9">
        <f t="shared" si="11"/>
        <v>16.757000000000001</v>
      </c>
      <c r="AE77" s="9">
        <f t="shared" si="12"/>
        <v>3.8290000000000002</v>
      </c>
      <c r="AF77" s="9">
        <f t="shared" si="13"/>
        <v>20.586000000000006</v>
      </c>
      <c r="AG77" s="9"/>
      <c r="AH77" s="10">
        <v>30072</v>
      </c>
      <c r="AI77" s="9">
        <f t="shared" si="14"/>
        <v>17.735999999999997</v>
      </c>
      <c r="AJ77" s="9">
        <f t="shared" si="15"/>
        <v>0.6180000000000001</v>
      </c>
      <c r="AK77" s="9">
        <f t="shared" si="16"/>
        <v>3.1390000000000002</v>
      </c>
      <c r="AL77" s="9">
        <f t="shared" si="17"/>
        <v>-4.7359999999999998</v>
      </c>
      <c r="AM77" s="12">
        <f t="shared" si="18"/>
        <v>2.8500000000000085</v>
      </c>
    </row>
    <row r="78" spans="1:39" x14ac:dyDescent="0.25">
      <c r="A78">
        <v>99996</v>
      </c>
      <c r="B78" t="s">
        <v>63</v>
      </c>
      <c r="C78" s="13">
        <v>7188</v>
      </c>
      <c r="D78" s="13">
        <v>721</v>
      </c>
      <c r="E78" s="13">
        <v>762</v>
      </c>
      <c r="F78" s="13">
        <v>2167</v>
      </c>
      <c r="G78" s="13">
        <v>1678</v>
      </c>
      <c r="H78" s="13">
        <v>616</v>
      </c>
      <c r="J78" s="13">
        <v>6825</v>
      </c>
      <c r="K78" s="13">
        <v>549</v>
      </c>
      <c r="L78" s="13">
        <v>598</v>
      </c>
      <c r="M78" s="13">
        <v>1868</v>
      </c>
      <c r="N78" s="13">
        <v>2432</v>
      </c>
      <c r="O78" s="13">
        <v>542</v>
      </c>
      <c r="Q78" s="3">
        <f t="shared" si="19"/>
        <v>0.36299999999999999</v>
      </c>
      <c r="R78" s="3">
        <f t="shared" si="20"/>
        <v>0.17199999999999999</v>
      </c>
      <c r="S78" s="3">
        <f t="shared" si="21"/>
        <v>0.16400000000000001</v>
      </c>
      <c r="T78" s="3">
        <f t="shared" si="22"/>
        <v>-0.754</v>
      </c>
      <c r="U78" s="3"/>
      <c r="V78" s="3">
        <f t="shared" si="23"/>
        <v>0.29899999999999999</v>
      </c>
      <c r="W78" s="3">
        <f t="shared" si="24"/>
        <v>7.3999999999999996E-2</v>
      </c>
      <c r="Y78" s="3">
        <f t="shared" si="25"/>
        <v>-5.5000000000000049E-2</v>
      </c>
      <c r="Z78" s="3">
        <f t="shared" si="26"/>
        <v>0.373</v>
      </c>
      <c r="AA78" s="3">
        <f t="shared" si="27"/>
        <v>0.31799999999999995</v>
      </c>
      <c r="AB78" s="3"/>
      <c r="AC78" s="2" t="str">
        <f t="shared" si="10"/>
        <v>1982-06</v>
      </c>
      <c r="AD78" s="9">
        <f t="shared" si="11"/>
        <v>15.433000000000003</v>
      </c>
      <c r="AE78" s="9">
        <f t="shared" si="12"/>
        <v>3.2930000000000001</v>
      </c>
      <c r="AF78" s="9">
        <f t="shared" si="13"/>
        <v>18.726000000000003</v>
      </c>
      <c r="AG78" s="9"/>
      <c r="AH78" s="10">
        <v>30103</v>
      </c>
      <c r="AI78" s="9">
        <f t="shared" si="14"/>
        <v>16.832999999999998</v>
      </c>
      <c r="AJ78" s="9">
        <f t="shared" si="15"/>
        <v>0.78899999999999992</v>
      </c>
      <c r="AK78" s="9">
        <f t="shared" si="16"/>
        <v>2.8170000000000002</v>
      </c>
      <c r="AL78" s="9">
        <f t="shared" si="17"/>
        <v>-5.0060000000000002</v>
      </c>
      <c r="AM78" s="12">
        <f t="shared" si="18"/>
        <v>1.8930000000000042</v>
      </c>
    </row>
    <row r="79" spans="1:39" x14ac:dyDescent="0.25">
      <c r="A79">
        <v>99996</v>
      </c>
      <c r="B79" t="s">
        <v>64</v>
      </c>
      <c r="C79" s="13">
        <v>7084</v>
      </c>
      <c r="D79" s="13">
        <v>928</v>
      </c>
      <c r="E79" s="13">
        <v>776</v>
      </c>
      <c r="F79" s="13">
        <v>2704</v>
      </c>
      <c r="G79" s="13">
        <v>1882</v>
      </c>
      <c r="H79" s="13">
        <v>455</v>
      </c>
      <c r="J79" s="13">
        <v>5101</v>
      </c>
      <c r="K79" s="13">
        <v>999</v>
      </c>
      <c r="L79" s="13">
        <v>634</v>
      </c>
      <c r="M79" s="13">
        <v>2691</v>
      </c>
      <c r="N79" s="13">
        <v>2607</v>
      </c>
      <c r="O79" s="13">
        <v>409</v>
      </c>
      <c r="Q79" s="3">
        <f t="shared" si="19"/>
        <v>1.9830000000000001</v>
      </c>
      <c r="R79" s="3">
        <f t="shared" si="20"/>
        <v>-7.0999999999999994E-2</v>
      </c>
      <c r="S79" s="3">
        <f t="shared" si="21"/>
        <v>0.14199999999999999</v>
      </c>
      <c r="T79" s="3">
        <f t="shared" si="22"/>
        <v>-0.72499999999999998</v>
      </c>
      <c r="U79" s="3"/>
      <c r="V79" s="3">
        <f t="shared" si="23"/>
        <v>1.2999999999999999E-2</v>
      </c>
      <c r="W79" s="3">
        <f t="shared" si="24"/>
        <v>4.5999999999999999E-2</v>
      </c>
      <c r="Y79" s="3">
        <f t="shared" si="25"/>
        <v>1.3290000000000002</v>
      </c>
      <c r="Z79" s="3">
        <f t="shared" si="26"/>
        <v>5.8999999999999997E-2</v>
      </c>
      <c r="AA79" s="3">
        <f t="shared" si="27"/>
        <v>1.3880000000000001</v>
      </c>
      <c r="AB79" s="3"/>
      <c r="AC79" s="2" t="str">
        <f t="shared" si="10"/>
        <v>1982-07</v>
      </c>
      <c r="AD79" s="9">
        <f t="shared" si="11"/>
        <v>15.218000000000004</v>
      </c>
      <c r="AE79" s="9">
        <f t="shared" si="12"/>
        <v>3.093</v>
      </c>
      <c r="AF79" s="9">
        <f t="shared" si="13"/>
        <v>18.311000000000003</v>
      </c>
      <c r="AG79" s="9"/>
      <c r="AH79" s="10">
        <v>30133</v>
      </c>
      <c r="AI79" s="9">
        <f t="shared" si="14"/>
        <v>17.666999999999998</v>
      </c>
      <c r="AJ79" s="9">
        <f t="shared" si="15"/>
        <v>0.37</v>
      </c>
      <c r="AK79" s="9">
        <f t="shared" si="16"/>
        <v>2.2320000000000002</v>
      </c>
      <c r="AL79" s="9">
        <f t="shared" si="17"/>
        <v>-5.0510000000000002</v>
      </c>
      <c r="AM79" s="12">
        <f t="shared" si="18"/>
        <v>0.64400000000000546</v>
      </c>
    </row>
    <row r="80" spans="1:39" x14ac:dyDescent="0.25">
      <c r="A80">
        <v>99996</v>
      </c>
      <c r="B80" t="s">
        <v>65</v>
      </c>
      <c r="C80" s="13">
        <v>10725</v>
      </c>
      <c r="D80" s="13">
        <v>552</v>
      </c>
      <c r="E80" s="13">
        <v>928</v>
      </c>
      <c r="F80" s="13">
        <v>3190</v>
      </c>
      <c r="G80" s="13">
        <v>3012</v>
      </c>
      <c r="H80" s="13">
        <v>532</v>
      </c>
      <c r="J80" s="13">
        <v>9861</v>
      </c>
      <c r="K80" s="13">
        <v>810</v>
      </c>
      <c r="L80" s="13">
        <v>925</v>
      </c>
      <c r="M80" s="13">
        <v>2647</v>
      </c>
      <c r="N80" s="13">
        <v>4410</v>
      </c>
      <c r="O80" s="13">
        <v>523</v>
      </c>
      <c r="Q80" s="3">
        <f t="shared" si="19"/>
        <v>0.86399999999999999</v>
      </c>
      <c r="R80" s="3">
        <f t="shared" si="20"/>
        <v>-0.25800000000000001</v>
      </c>
      <c r="S80" s="3">
        <f t="shared" si="21"/>
        <v>3.0000000000000001E-3</v>
      </c>
      <c r="T80" s="3">
        <f t="shared" si="22"/>
        <v>-1.3979999999999999</v>
      </c>
      <c r="U80" s="3"/>
      <c r="V80" s="3">
        <f t="shared" si="23"/>
        <v>0.54300000000000004</v>
      </c>
      <c r="W80" s="3">
        <f t="shared" si="24"/>
        <v>8.9999999999999993E-3</v>
      </c>
      <c r="Y80" s="3">
        <f t="shared" si="25"/>
        <v>-0.78899999999999992</v>
      </c>
      <c r="Z80" s="3">
        <f t="shared" si="26"/>
        <v>0.55200000000000005</v>
      </c>
      <c r="AA80" s="3">
        <f t="shared" si="27"/>
        <v>-0.23699999999999988</v>
      </c>
      <c r="AB80" s="3"/>
      <c r="AC80" s="2" t="str">
        <f t="shared" si="10"/>
        <v>1982-08</v>
      </c>
      <c r="AD80" s="9">
        <f t="shared" si="11"/>
        <v>12.390000000000002</v>
      </c>
      <c r="AE80" s="9">
        <f t="shared" si="12"/>
        <v>3.6850000000000001</v>
      </c>
      <c r="AF80" s="9">
        <f t="shared" si="13"/>
        <v>16.074999999999999</v>
      </c>
      <c r="AG80" s="9"/>
      <c r="AH80" s="10">
        <v>30164</v>
      </c>
      <c r="AI80" s="9">
        <f t="shared" si="14"/>
        <v>16.730999999999998</v>
      </c>
      <c r="AJ80" s="9">
        <f t="shared" si="15"/>
        <v>6.6000000000000003E-2</v>
      </c>
      <c r="AK80" s="9">
        <f t="shared" si="16"/>
        <v>2.0029999999999997</v>
      </c>
      <c r="AL80" s="9">
        <f t="shared" si="17"/>
        <v>-6.41</v>
      </c>
      <c r="AM80" s="12">
        <f t="shared" si="18"/>
        <v>-0.65599999999999881</v>
      </c>
    </row>
    <row r="81" spans="1:39" x14ac:dyDescent="0.25">
      <c r="A81">
        <v>99996</v>
      </c>
      <c r="B81" t="s">
        <v>66</v>
      </c>
      <c r="C81" s="13">
        <v>9710</v>
      </c>
      <c r="D81" s="13">
        <v>1020</v>
      </c>
      <c r="E81" s="13">
        <v>1294</v>
      </c>
      <c r="F81" s="13">
        <v>4301</v>
      </c>
      <c r="G81" s="13">
        <v>2755</v>
      </c>
      <c r="H81" s="13">
        <v>545</v>
      </c>
      <c r="J81" s="13">
        <v>7369</v>
      </c>
      <c r="K81" s="13">
        <v>1080</v>
      </c>
      <c r="L81" s="13">
        <v>1156</v>
      </c>
      <c r="M81" s="13">
        <v>4397</v>
      </c>
      <c r="N81" s="13">
        <v>3877</v>
      </c>
      <c r="O81" s="13">
        <v>705</v>
      </c>
      <c r="Q81" s="3">
        <f t="shared" si="19"/>
        <v>2.3410000000000002</v>
      </c>
      <c r="R81" s="3">
        <f t="shared" si="20"/>
        <v>-0.06</v>
      </c>
      <c r="S81" s="3">
        <f t="shared" si="21"/>
        <v>0.13800000000000001</v>
      </c>
      <c r="T81" s="3">
        <f t="shared" si="22"/>
        <v>-1.1220000000000001</v>
      </c>
      <c r="U81" s="3"/>
      <c r="V81" s="3">
        <f t="shared" si="23"/>
        <v>-9.6000000000000002E-2</v>
      </c>
      <c r="W81" s="3">
        <f t="shared" si="24"/>
        <v>-0.16</v>
      </c>
      <c r="Y81" s="3">
        <f t="shared" si="25"/>
        <v>1.2969999999999999</v>
      </c>
      <c r="Z81" s="3">
        <f t="shared" si="26"/>
        <v>-0.25600000000000001</v>
      </c>
      <c r="AA81" s="3">
        <f t="shared" si="27"/>
        <v>1.0409999999999999</v>
      </c>
      <c r="AB81" s="3"/>
      <c r="AC81" s="2" t="str">
        <f t="shared" si="10"/>
        <v>1982-09</v>
      </c>
      <c r="AD81" s="9">
        <f t="shared" si="11"/>
        <v>12.430000000000001</v>
      </c>
      <c r="AE81" s="9">
        <f t="shared" si="12"/>
        <v>2.6880000000000006</v>
      </c>
      <c r="AF81" s="9">
        <f t="shared" si="13"/>
        <v>15.118</v>
      </c>
      <c r="AG81" s="9"/>
      <c r="AH81" s="10">
        <v>30195</v>
      </c>
      <c r="AI81" s="9">
        <f t="shared" si="14"/>
        <v>17.815999999999999</v>
      </c>
      <c r="AJ81" s="9">
        <f t="shared" si="15"/>
        <v>-0.22999999999999998</v>
      </c>
      <c r="AK81" s="9">
        <f t="shared" si="16"/>
        <v>2.1219999999999994</v>
      </c>
      <c r="AL81" s="9">
        <f t="shared" si="17"/>
        <v>-7.2779999999999987</v>
      </c>
      <c r="AM81" s="12">
        <f t="shared" si="18"/>
        <v>-2.6979999999999986</v>
      </c>
    </row>
    <row r="82" spans="1:39" x14ac:dyDescent="0.25">
      <c r="A82">
        <v>99996</v>
      </c>
      <c r="B82" t="s">
        <v>67</v>
      </c>
      <c r="C82" s="13">
        <v>8587</v>
      </c>
      <c r="D82" s="13">
        <v>1280</v>
      </c>
      <c r="E82" s="13">
        <v>1535</v>
      </c>
      <c r="F82" s="13">
        <v>5928</v>
      </c>
      <c r="G82" s="13">
        <v>2614</v>
      </c>
      <c r="H82" s="13">
        <v>706</v>
      </c>
      <c r="J82" s="13">
        <v>6885</v>
      </c>
      <c r="K82" s="13">
        <v>1235</v>
      </c>
      <c r="L82" s="13">
        <v>1566</v>
      </c>
      <c r="M82" s="13">
        <v>5671</v>
      </c>
      <c r="N82" s="13">
        <v>4052</v>
      </c>
      <c r="O82" s="13">
        <v>1014</v>
      </c>
      <c r="Q82" s="3">
        <f t="shared" si="19"/>
        <v>1.702</v>
      </c>
      <c r="R82" s="3">
        <f t="shared" si="20"/>
        <v>4.4999999999999998E-2</v>
      </c>
      <c r="S82" s="3">
        <f t="shared" si="21"/>
        <v>-3.1E-2</v>
      </c>
      <c r="T82" s="3">
        <f t="shared" si="22"/>
        <v>-1.4379999999999999</v>
      </c>
      <c r="U82" s="3"/>
      <c r="V82" s="3">
        <f t="shared" si="23"/>
        <v>0.25700000000000001</v>
      </c>
      <c r="W82" s="3">
        <f t="shared" si="24"/>
        <v>-0.308</v>
      </c>
      <c r="Y82" s="3">
        <f t="shared" si="25"/>
        <v>0.27800000000000002</v>
      </c>
      <c r="Z82" s="3">
        <f t="shared" si="26"/>
        <v>-5.099999999999999E-2</v>
      </c>
      <c r="AA82" s="3">
        <f t="shared" si="27"/>
        <v>0.22700000000000004</v>
      </c>
      <c r="AB82" s="3"/>
      <c r="AC82" s="2" t="str">
        <f t="shared" si="10"/>
        <v>1982-10</v>
      </c>
      <c r="AD82" s="9">
        <f t="shared" si="11"/>
        <v>11.370000000000003</v>
      </c>
      <c r="AE82" s="9">
        <f t="shared" si="12"/>
        <v>2.6290000000000004</v>
      </c>
      <c r="AF82" s="9">
        <f t="shared" si="13"/>
        <v>13.999000000000001</v>
      </c>
      <c r="AG82" s="9"/>
      <c r="AH82" s="10">
        <v>30225</v>
      </c>
      <c r="AI82" s="9">
        <f t="shared" si="14"/>
        <v>18.042999999999999</v>
      </c>
      <c r="AJ82" s="9">
        <f t="shared" si="15"/>
        <v>-0.10600000000000002</v>
      </c>
      <c r="AK82" s="9">
        <f t="shared" si="16"/>
        <v>2.0389999999999997</v>
      </c>
      <c r="AL82" s="9">
        <f t="shared" si="17"/>
        <v>-8.6059999999999999</v>
      </c>
      <c r="AM82" s="12">
        <f t="shared" si="18"/>
        <v>-4.0439999999999987</v>
      </c>
    </row>
    <row r="83" spans="1:39" x14ac:dyDescent="0.25">
      <c r="A83">
        <v>99996</v>
      </c>
      <c r="B83" t="s">
        <v>68</v>
      </c>
      <c r="C83" s="13">
        <v>12296</v>
      </c>
      <c r="D83" s="13">
        <v>1003</v>
      </c>
      <c r="E83" s="13">
        <v>1051</v>
      </c>
      <c r="F83" s="13">
        <v>5580</v>
      </c>
      <c r="G83" s="13">
        <v>2514</v>
      </c>
      <c r="H83" s="13">
        <v>771</v>
      </c>
      <c r="J83" s="13">
        <v>11488</v>
      </c>
      <c r="K83" s="13">
        <v>1225</v>
      </c>
      <c r="L83" s="13">
        <v>994</v>
      </c>
      <c r="M83" s="13">
        <v>5239</v>
      </c>
      <c r="N83" s="13">
        <v>2874</v>
      </c>
      <c r="O83" s="13">
        <v>1509</v>
      </c>
      <c r="Q83" s="3">
        <f t="shared" si="19"/>
        <v>0.80800000000000005</v>
      </c>
      <c r="R83" s="3">
        <f t="shared" si="20"/>
        <v>-0.222</v>
      </c>
      <c r="S83" s="3">
        <f t="shared" si="21"/>
        <v>5.7000000000000002E-2</v>
      </c>
      <c r="T83" s="3">
        <f t="shared" si="22"/>
        <v>-0.36</v>
      </c>
      <c r="U83" s="3"/>
      <c r="V83" s="3">
        <f t="shared" si="23"/>
        <v>0.34100000000000003</v>
      </c>
      <c r="W83" s="3">
        <f t="shared" si="24"/>
        <v>-0.73799999999999999</v>
      </c>
      <c r="Y83" s="3">
        <f t="shared" si="25"/>
        <v>0.28300000000000014</v>
      </c>
      <c r="Z83" s="3">
        <f t="shared" si="26"/>
        <v>-0.39699999999999996</v>
      </c>
      <c r="AA83" s="3">
        <f t="shared" si="27"/>
        <v>-0.11399999999999988</v>
      </c>
      <c r="AB83" s="3"/>
      <c r="AC83" s="2" t="str">
        <f t="shared" si="10"/>
        <v>1982-11</v>
      </c>
      <c r="AD83" s="9">
        <f t="shared" si="11"/>
        <v>11.886000000000001</v>
      </c>
      <c r="AE83" s="9">
        <f t="shared" si="12"/>
        <v>2.1650000000000005</v>
      </c>
      <c r="AF83" s="9">
        <f t="shared" si="13"/>
        <v>14.051000000000002</v>
      </c>
      <c r="AG83" s="9"/>
      <c r="AH83" s="10">
        <v>30256</v>
      </c>
      <c r="AI83" s="9">
        <f t="shared" si="14"/>
        <v>16.917000000000002</v>
      </c>
      <c r="AJ83" s="9">
        <f t="shared" si="15"/>
        <v>-0.12200000000000001</v>
      </c>
      <c r="AK83" s="9">
        <f t="shared" si="16"/>
        <v>2.0989999999999993</v>
      </c>
      <c r="AL83" s="9">
        <f t="shared" si="17"/>
        <v>-7.008</v>
      </c>
      <c r="AM83" s="12">
        <f t="shared" si="18"/>
        <v>-2.8659999999999997</v>
      </c>
    </row>
    <row r="84" spans="1:39" x14ac:dyDescent="0.25">
      <c r="A84">
        <v>99996</v>
      </c>
      <c r="B84" t="s">
        <v>69</v>
      </c>
      <c r="C84" s="13">
        <v>9147</v>
      </c>
      <c r="D84" s="13">
        <v>1050</v>
      </c>
      <c r="E84" s="13">
        <v>1011</v>
      </c>
      <c r="F84" s="13">
        <v>5843</v>
      </c>
      <c r="G84" s="13">
        <v>2490</v>
      </c>
      <c r="H84" s="13">
        <v>923</v>
      </c>
      <c r="J84" s="13">
        <v>7981</v>
      </c>
      <c r="K84" s="13">
        <v>1303</v>
      </c>
      <c r="L84" s="13">
        <v>1137</v>
      </c>
      <c r="M84" s="13">
        <v>4918</v>
      </c>
      <c r="N84" s="13">
        <v>2894</v>
      </c>
      <c r="O84" s="13">
        <v>1200</v>
      </c>
      <c r="Q84" s="3">
        <f t="shared" si="19"/>
        <v>1.1659999999999999</v>
      </c>
      <c r="R84" s="3">
        <f t="shared" si="20"/>
        <v>-0.253</v>
      </c>
      <c r="S84" s="3">
        <f t="shared" si="21"/>
        <v>-0.126</v>
      </c>
      <c r="T84" s="3">
        <f t="shared" si="22"/>
        <v>-0.40400000000000003</v>
      </c>
      <c r="U84" s="3"/>
      <c r="V84" s="3">
        <f t="shared" si="23"/>
        <v>0.92500000000000004</v>
      </c>
      <c r="W84" s="3">
        <f t="shared" si="24"/>
        <v>-0.27700000000000002</v>
      </c>
      <c r="Y84" s="3">
        <f t="shared" si="25"/>
        <v>0.3829999999999999</v>
      </c>
      <c r="Z84" s="3">
        <f t="shared" si="26"/>
        <v>0.64800000000000002</v>
      </c>
      <c r="AA84" s="3">
        <f t="shared" si="27"/>
        <v>1.0309999999999997</v>
      </c>
      <c r="AB84" s="3"/>
      <c r="AC84" s="2" t="str">
        <f t="shared" si="10"/>
        <v>1982-12</v>
      </c>
      <c r="AD84" s="9">
        <f t="shared" si="11"/>
        <v>12.126000000000001</v>
      </c>
      <c r="AE84" s="9">
        <f t="shared" si="12"/>
        <v>2.56</v>
      </c>
      <c r="AF84" s="9">
        <f t="shared" si="13"/>
        <v>14.686</v>
      </c>
      <c r="AG84" s="9"/>
      <c r="AH84" s="10">
        <v>30286</v>
      </c>
      <c r="AI84" s="9">
        <f t="shared" si="14"/>
        <v>17.319000000000003</v>
      </c>
      <c r="AJ84" s="9">
        <f t="shared" si="15"/>
        <v>-0.36</v>
      </c>
      <c r="AK84" s="9">
        <f t="shared" si="16"/>
        <v>1.8089999999999997</v>
      </c>
      <c r="AL84" s="9">
        <f t="shared" si="17"/>
        <v>-6.6419999999999995</v>
      </c>
      <c r="AM84" s="12">
        <f t="shared" si="18"/>
        <v>-2.6330000000000027</v>
      </c>
    </row>
    <row r="85" spans="1:39" x14ac:dyDescent="0.25">
      <c r="A85">
        <v>99996</v>
      </c>
      <c r="B85" t="s">
        <v>70</v>
      </c>
      <c r="C85" s="13">
        <v>9412</v>
      </c>
      <c r="D85" s="13">
        <v>1157</v>
      </c>
      <c r="E85" s="13">
        <v>714</v>
      </c>
      <c r="F85" s="13">
        <v>5166</v>
      </c>
      <c r="G85" s="13">
        <v>2600</v>
      </c>
      <c r="H85" s="13">
        <v>1032</v>
      </c>
      <c r="J85" s="13">
        <v>8643</v>
      </c>
      <c r="K85" s="13">
        <v>1304</v>
      </c>
      <c r="L85" s="13">
        <v>906</v>
      </c>
      <c r="M85" s="13">
        <v>4357</v>
      </c>
      <c r="N85" s="13">
        <v>2462</v>
      </c>
      <c r="O85" s="13">
        <v>1359</v>
      </c>
      <c r="Q85" s="3">
        <f t="shared" si="19"/>
        <v>0.76900000000000002</v>
      </c>
      <c r="R85" s="3">
        <f t="shared" si="20"/>
        <v>-0.14699999999999999</v>
      </c>
      <c r="S85" s="3">
        <f t="shared" si="21"/>
        <v>-0.192</v>
      </c>
      <c r="T85" s="3">
        <f t="shared" si="22"/>
        <v>0.13800000000000001</v>
      </c>
      <c r="U85" s="3"/>
      <c r="V85" s="3">
        <f t="shared" si="23"/>
        <v>0.80900000000000005</v>
      </c>
      <c r="W85" s="3">
        <f t="shared" si="24"/>
        <v>-0.32700000000000001</v>
      </c>
      <c r="Y85" s="3">
        <f t="shared" si="25"/>
        <v>0.56800000000000006</v>
      </c>
      <c r="Z85" s="3">
        <f t="shared" si="26"/>
        <v>0.48200000000000004</v>
      </c>
      <c r="AA85" s="3">
        <f t="shared" si="27"/>
        <v>1.0500000000000003</v>
      </c>
      <c r="AB85" s="3"/>
      <c r="AC85" s="2" t="str">
        <f t="shared" si="10"/>
        <v>1983-01</v>
      </c>
      <c r="AD85" s="9">
        <f t="shared" si="11"/>
        <v>11.347000000000001</v>
      </c>
      <c r="AE85" s="9">
        <f t="shared" si="12"/>
        <v>2.6420000000000003</v>
      </c>
      <c r="AF85" s="9">
        <f t="shared" si="13"/>
        <v>13.989000000000001</v>
      </c>
      <c r="AG85" s="9"/>
      <c r="AH85" s="10">
        <v>30317</v>
      </c>
      <c r="AI85" s="9">
        <f t="shared" si="14"/>
        <v>16.802</v>
      </c>
      <c r="AJ85" s="9">
        <f t="shared" si="15"/>
        <v>-0.52500000000000002</v>
      </c>
      <c r="AK85" s="9">
        <f t="shared" si="16"/>
        <v>1.4659999999999995</v>
      </c>
      <c r="AL85" s="9">
        <f t="shared" si="17"/>
        <v>-6.3959999999999999</v>
      </c>
      <c r="AM85" s="12">
        <f t="shared" si="18"/>
        <v>-2.8129999999999988</v>
      </c>
    </row>
    <row r="86" spans="1:39" x14ac:dyDescent="0.25">
      <c r="A86">
        <v>99996</v>
      </c>
      <c r="B86" t="s">
        <v>71</v>
      </c>
      <c r="C86" s="13">
        <v>10227</v>
      </c>
      <c r="D86" s="13">
        <v>1063</v>
      </c>
      <c r="E86" s="13">
        <v>688</v>
      </c>
      <c r="F86" s="13">
        <v>5317</v>
      </c>
      <c r="G86" s="13">
        <v>3097</v>
      </c>
      <c r="H86" s="13">
        <v>1044</v>
      </c>
      <c r="J86" s="13">
        <v>9632</v>
      </c>
      <c r="K86" s="13">
        <v>1153</v>
      </c>
      <c r="L86" s="13">
        <v>644</v>
      </c>
      <c r="M86" s="13">
        <v>4341</v>
      </c>
      <c r="N86" s="13">
        <v>3361</v>
      </c>
      <c r="O86" s="13">
        <v>1268</v>
      </c>
      <c r="Q86" s="3">
        <f t="shared" si="19"/>
        <v>0.59499999999999997</v>
      </c>
      <c r="R86" s="3">
        <f t="shared" si="20"/>
        <v>-0.09</v>
      </c>
      <c r="S86" s="3">
        <f t="shared" si="21"/>
        <v>4.3999999999999997E-2</v>
      </c>
      <c r="T86" s="3">
        <f t="shared" si="22"/>
        <v>-0.26400000000000001</v>
      </c>
      <c r="U86" s="3"/>
      <c r="V86" s="3">
        <f t="shared" si="23"/>
        <v>0.97599999999999998</v>
      </c>
      <c r="W86" s="3">
        <f t="shared" si="24"/>
        <v>-0.224</v>
      </c>
      <c r="Y86" s="3">
        <f t="shared" si="25"/>
        <v>0.28500000000000003</v>
      </c>
      <c r="Z86" s="3">
        <f t="shared" si="26"/>
        <v>0.752</v>
      </c>
      <c r="AA86" s="3">
        <f t="shared" si="27"/>
        <v>1.0370000000000001</v>
      </c>
      <c r="AB86" s="3"/>
      <c r="AC86" s="2" t="str">
        <f t="shared" si="10"/>
        <v>1983-02</v>
      </c>
      <c r="AD86" s="9">
        <f t="shared" si="11"/>
        <v>9.4489999999999981</v>
      </c>
      <c r="AE86" s="9">
        <f t="shared" si="12"/>
        <v>2.8239999999999998</v>
      </c>
      <c r="AF86" s="9">
        <f t="shared" si="13"/>
        <v>12.273000000000001</v>
      </c>
      <c r="AG86" s="9"/>
      <c r="AH86" s="10">
        <v>30348</v>
      </c>
      <c r="AI86" s="9">
        <f t="shared" si="14"/>
        <v>15.079000000000002</v>
      </c>
      <c r="AJ86" s="9">
        <f t="shared" si="15"/>
        <v>-0.56100000000000005</v>
      </c>
      <c r="AK86" s="9">
        <f t="shared" si="16"/>
        <v>1.4629999999999999</v>
      </c>
      <c r="AL86" s="9">
        <f t="shared" si="17"/>
        <v>-6.532</v>
      </c>
      <c r="AM86" s="12">
        <f t="shared" si="18"/>
        <v>-2.8060000000000009</v>
      </c>
    </row>
    <row r="87" spans="1:39" x14ac:dyDescent="0.25">
      <c r="A87">
        <v>99996</v>
      </c>
      <c r="B87" t="s">
        <v>72</v>
      </c>
      <c r="C87" s="13">
        <v>12556</v>
      </c>
      <c r="D87" s="13">
        <v>1360</v>
      </c>
      <c r="E87" s="13">
        <v>950</v>
      </c>
      <c r="F87" s="13">
        <v>7076</v>
      </c>
      <c r="G87" s="13">
        <v>2814</v>
      </c>
      <c r="H87" s="13">
        <v>1198</v>
      </c>
      <c r="J87" s="13">
        <v>9950</v>
      </c>
      <c r="K87" s="13">
        <v>1556</v>
      </c>
      <c r="L87" s="13">
        <v>891</v>
      </c>
      <c r="M87" s="13">
        <v>6153</v>
      </c>
      <c r="N87" s="13">
        <v>3329</v>
      </c>
      <c r="O87" s="13">
        <v>1631</v>
      </c>
      <c r="Q87" s="3">
        <f t="shared" si="19"/>
        <v>2.6059999999999999</v>
      </c>
      <c r="R87" s="3">
        <f t="shared" si="20"/>
        <v>-0.19600000000000001</v>
      </c>
      <c r="S87" s="3">
        <f t="shared" si="21"/>
        <v>5.8999999999999997E-2</v>
      </c>
      <c r="T87" s="3">
        <f t="shared" si="22"/>
        <v>-0.51500000000000001</v>
      </c>
      <c r="U87" s="3"/>
      <c r="V87" s="3">
        <f t="shared" si="23"/>
        <v>0.92300000000000004</v>
      </c>
      <c r="W87" s="3">
        <f t="shared" si="24"/>
        <v>-0.433</v>
      </c>
      <c r="Y87" s="3">
        <f t="shared" si="25"/>
        <v>1.9539999999999997</v>
      </c>
      <c r="Z87" s="3">
        <f t="shared" si="26"/>
        <v>0.49000000000000005</v>
      </c>
      <c r="AA87" s="3">
        <f t="shared" si="27"/>
        <v>2.444</v>
      </c>
      <c r="AB87" s="3"/>
      <c r="AC87" s="2" t="str">
        <f t="shared" si="10"/>
        <v>1983-03</v>
      </c>
      <c r="AD87" s="9">
        <f t="shared" si="11"/>
        <v>9.8820000000000014</v>
      </c>
      <c r="AE87" s="9">
        <f t="shared" si="12"/>
        <v>3.1540000000000004</v>
      </c>
      <c r="AF87" s="9">
        <f t="shared" si="13"/>
        <v>13.036000000000001</v>
      </c>
      <c r="AG87" s="9"/>
      <c r="AH87" s="10">
        <v>30376</v>
      </c>
      <c r="AI87" s="9">
        <f t="shared" si="14"/>
        <v>15.672000000000001</v>
      </c>
      <c r="AJ87" s="9">
        <f t="shared" si="15"/>
        <v>-0.72399999999999998</v>
      </c>
      <c r="AK87" s="9">
        <f t="shared" si="16"/>
        <v>1.3899999999999997</v>
      </c>
      <c r="AL87" s="9">
        <f t="shared" si="17"/>
        <v>-6.4559999999999995</v>
      </c>
      <c r="AM87" s="12">
        <f t="shared" si="18"/>
        <v>-2.6359999999999992</v>
      </c>
    </row>
    <row r="88" spans="1:39" x14ac:dyDescent="0.25">
      <c r="A88">
        <v>99996</v>
      </c>
      <c r="B88" t="s">
        <v>73</v>
      </c>
      <c r="C88" s="13">
        <v>6864</v>
      </c>
      <c r="D88" s="13">
        <v>1206</v>
      </c>
      <c r="E88" s="13">
        <v>1069</v>
      </c>
      <c r="F88" s="13">
        <v>5931</v>
      </c>
      <c r="G88" s="13">
        <v>2564</v>
      </c>
      <c r="H88" s="13">
        <v>978</v>
      </c>
      <c r="J88" s="13">
        <v>8007</v>
      </c>
      <c r="K88" s="13">
        <v>1113</v>
      </c>
      <c r="L88" s="13">
        <v>772</v>
      </c>
      <c r="M88" s="13">
        <v>5340</v>
      </c>
      <c r="N88" s="13">
        <v>3088</v>
      </c>
      <c r="O88" s="13">
        <v>1522</v>
      </c>
      <c r="Q88" s="3">
        <f t="shared" si="19"/>
        <v>-1.143</v>
      </c>
      <c r="R88" s="3">
        <f t="shared" si="20"/>
        <v>9.2999999999999999E-2</v>
      </c>
      <c r="S88" s="3">
        <f t="shared" si="21"/>
        <v>0.29699999999999999</v>
      </c>
      <c r="T88" s="3">
        <f t="shared" si="22"/>
        <v>-0.52400000000000002</v>
      </c>
      <c r="U88" s="3"/>
      <c r="V88" s="3">
        <f t="shared" si="23"/>
        <v>0.59099999999999997</v>
      </c>
      <c r="W88" s="3">
        <f t="shared" si="24"/>
        <v>-0.54400000000000004</v>
      </c>
      <c r="Y88" s="3">
        <f t="shared" si="25"/>
        <v>-1.2770000000000001</v>
      </c>
      <c r="Z88" s="3">
        <f t="shared" si="26"/>
        <v>4.6999999999999931E-2</v>
      </c>
      <c r="AA88" s="3">
        <f t="shared" si="27"/>
        <v>-1.2300000000000002</v>
      </c>
      <c r="AB88" s="3"/>
      <c r="AC88" s="2" t="str">
        <f t="shared" ref="AC88:AC151" si="28">B88</f>
        <v>1983-04</v>
      </c>
      <c r="AD88" s="9">
        <f t="shared" ref="AD88:AD151" si="29">SUM(Y77:Y88)</f>
        <v>6.5359999999999996</v>
      </c>
      <c r="AE88" s="9">
        <f t="shared" ref="AE88:AE151" si="30">SUM(Z77:Z88)</f>
        <v>3.016</v>
      </c>
      <c r="AF88" s="9">
        <f t="shared" ref="AF88:AF151" si="31">SUM(AA77:AA88)</f>
        <v>9.5520000000000032</v>
      </c>
      <c r="AG88" s="9"/>
      <c r="AH88" s="10">
        <v>30407</v>
      </c>
      <c r="AI88" s="9">
        <f t="shared" ref="AI88:AI151" si="32">SUM(Q77:Q88)</f>
        <v>13.076000000000001</v>
      </c>
      <c r="AJ88" s="9">
        <f t="shared" ref="AJ88:AJ151" si="33">SUM(R77:R88)</f>
        <v>-0.89600000000000013</v>
      </c>
      <c r="AK88" s="9">
        <f t="shared" ref="AK88:AK151" si="34">SUM(S77:S88)</f>
        <v>1.2879999999999996</v>
      </c>
      <c r="AL88" s="9">
        <f t="shared" ref="AL88:AL151" si="35">SUM(T77:T88)</f>
        <v>-6.9319999999999995</v>
      </c>
      <c r="AM88" s="12">
        <f t="shared" ref="AM88:AM151" si="36">AF88-AI88</f>
        <v>-3.5239999999999974</v>
      </c>
    </row>
    <row r="89" spans="1:39" x14ac:dyDescent="0.25">
      <c r="A89">
        <v>99996</v>
      </c>
      <c r="B89" t="s">
        <v>74</v>
      </c>
      <c r="C89" s="13">
        <v>13953</v>
      </c>
      <c r="D89" s="13">
        <v>1120</v>
      </c>
      <c r="E89" s="13">
        <v>1338</v>
      </c>
      <c r="F89" s="13">
        <v>6617</v>
      </c>
      <c r="G89" s="13">
        <v>2667</v>
      </c>
      <c r="H89" s="13">
        <v>1081</v>
      </c>
      <c r="J89" s="13">
        <v>11330</v>
      </c>
      <c r="K89" s="13">
        <v>1140</v>
      </c>
      <c r="L89" s="13">
        <v>1149</v>
      </c>
      <c r="M89" s="13">
        <v>6352</v>
      </c>
      <c r="N89" s="13">
        <v>3504</v>
      </c>
      <c r="O89" s="13">
        <v>1723</v>
      </c>
      <c r="Q89" s="3">
        <f t="shared" si="19"/>
        <v>2.6230000000000002</v>
      </c>
      <c r="R89" s="3">
        <f t="shared" si="20"/>
        <v>-0.02</v>
      </c>
      <c r="S89" s="3">
        <f t="shared" si="21"/>
        <v>0.189</v>
      </c>
      <c r="T89" s="3">
        <f t="shared" si="22"/>
        <v>-0.83699999999999997</v>
      </c>
      <c r="U89" s="3"/>
      <c r="V89" s="3">
        <f t="shared" si="23"/>
        <v>0.26500000000000001</v>
      </c>
      <c r="W89" s="3">
        <f t="shared" si="24"/>
        <v>-0.64200000000000002</v>
      </c>
      <c r="Y89" s="3">
        <f t="shared" si="25"/>
        <v>1.9550000000000003</v>
      </c>
      <c r="Z89" s="3">
        <f t="shared" si="26"/>
        <v>-0.377</v>
      </c>
      <c r="AA89" s="3">
        <f t="shared" si="27"/>
        <v>1.5780000000000003</v>
      </c>
      <c r="AB89" s="3"/>
      <c r="AC89" s="2" t="str">
        <f t="shared" si="28"/>
        <v>1983-05</v>
      </c>
      <c r="AD89" s="9">
        <f t="shared" si="29"/>
        <v>6.2109999999999994</v>
      </c>
      <c r="AE89" s="9">
        <f t="shared" si="30"/>
        <v>2.3220000000000001</v>
      </c>
      <c r="AF89" s="9">
        <f t="shared" si="31"/>
        <v>8.5329999999999977</v>
      </c>
      <c r="AG89" s="9"/>
      <c r="AH89" s="10">
        <v>30437</v>
      </c>
      <c r="AI89" s="9">
        <f t="shared" si="32"/>
        <v>14.677</v>
      </c>
      <c r="AJ89" s="9">
        <f t="shared" si="33"/>
        <v>-1.0070000000000001</v>
      </c>
      <c r="AK89" s="9">
        <f t="shared" si="34"/>
        <v>0.74399999999999999</v>
      </c>
      <c r="AL89" s="9">
        <f t="shared" si="35"/>
        <v>-8.2029999999999994</v>
      </c>
      <c r="AM89" s="12">
        <f t="shared" si="36"/>
        <v>-6.1440000000000019</v>
      </c>
    </row>
    <row r="90" spans="1:39" x14ac:dyDescent="0.25">
      <c r="A90">
        <v>99996</v>
      </c>
      <c r="B90" t="s">
        <v>75</v>
      </c>
      <c r="C90" s="13">
        <v>10172</v>
      </c>
      <c r="D90" s="13">
        <v>842</v>
      </c>
      <c r="E90" s="13">
        <v>704</v>
      </c>
      <c r="F90" s="13">
        <v>6852</v>
      </c>
      <c r="G90" s="13">
        <v>3333</v>
      </c>
      <c r="H90" s="13">
        <v>1397</v>
      </c>
      <c r="J90" s="13">
        <v>8609</v>
      </c>
      <c r="K90" s="13">
        <v>909</v>
      </c>
      <c r="L90" s="13">
        <v>839</v>
      </c>
      <c r="M90" s="13">
        <v>6457</v>
      </c>
      <c r="N90" s="13">
        <v>3095</v>
      </c>
      <c r="O90" s="13">
        <v>1997</v>
      </c>
      <c r="Q90" s="3">
        <f t="shared" si="19"/>
        <v>1.5629999999999999</v>
      </c>
      <c r="R90" s="3">
        <f t="shared" si="20"/>
        <v>-6.7000000000000004E-2</v>
      </c>
      <c r="S90" s="3">
        <f t="shared" si="21"/>
        <v>-0.13500000000000001</v>
      </c>
      <c r="T90" s="3">
        <f t="shared" si="22"/>
        <v>0.23799999999999999</v>
      </c>
      <c r="U90" s="3"/>
      <c r="V90" s="3">
        <f t="shared" si="23"/>
        <v>0.39500000000000002</v>
      </c>
      <c r="W90" s="3">
        <f t="shared" si="24"/>
        <v>-0.6</v>
      </c>
      <c r="Y90" s="3">
        <f t="shared" si="25"/>
        <v>1.599</v>
      </c>
      <c r="Z90" s="3">
        <f t="shared" si="26"/>
        <v>-0.20499999999999996</v>
      </c>
      <c r="AA90" s="3">
        <f t="shared" si="27"/>
        <v>1.3940000000000001</v>
      </c>
      <c r="AB90" s="3"/>
      <c r="AC90" s="2" t="str">
        <f t="shared" si="28"/>
        <v>1983-06</v>
      </c>
      <c r="AD90" s="9">
        <f t="shared" si="29"/>
        <v>7.8650000000000011</v>
      </c>
      <c r="AE90" s="9">
        <f t="shared" si="30"/>
        <v>1.7440000000000007</v>
      </c>
      <c r="AF90" s="9">
        <f t="shared" si="31"/>
        <v>9.609</v>
      </c>
      <c r="AG90" s="9"/>
      <c r="AH90" s="10">
        <v>30468</v>
      </c>
      <c r="AI90" s="9">
        <f t="shared" si="32"/>
        <v>15.877000000000001</v>
      </c>
      <c r="AJ90" s="9">
        <f t="shared" si="33"/>
        <v>-1.246</v>
      </c>
      <c r="AK90" s="9">
        <f t="shared" si="34"/>
        <v>0.44499999999999995</v>
      </c>
      <c r="AL90" s="9">
        <f t="shared" si="35"/>
        <v>-7.2110000000000003</v>
      </c>
      <c r="AM90" s="12">
        <f t="shared" si="36"/>
        <v>-6.2680000000000007</v>
      </c>
    </row>
    <row r="91" spans="1:39" x14ac:dyDescent="0.25">
      <c r="A91">
        <v>99996</v>
      </c>
      <c r="B91" t="s">
        <v>76</v>
      </c>
      <c r="C91" s="13">
        <v>6431</v>
      </c>
      <c r="D91" s="13">
        <v>762</v>
      </c>
      <c r="E91" s="13">
        <v>677</v>
      </c>
      <c r="F91" s="13">
        <v>5733</v>
      </c>
      <c r="G91" s="13">
        <v>2565</v>
      </c>
      <c r="H91" s="13">
        <v>982</v>
      </c>
      <c r="J91" s="13">
        <v>8105</v>
      </c>
      <c r="K91" s="13">
        <v>811</v>
      </c>
      <c r="L91" s="13">
        <v>652</v>
      </c>
      <c r="M91" s="13">
        <v>5198</v>
      </c>
      <c r="N91" s="13">
        <v>2754</v>
      </c>
      <c r="O91" s="13">
        <v>1470</v>
      </c>
      <c r="Q91" s="3">
        <f t="shared" si="19"/>
        <v>-1.6739999999999999</v>
      </c>
      <c r="R91" s="3">
        <f t="shared" si="20"/>
        <v>-4.9000000000000002E-2</v>
      </c>
      <c r="S91" s="3">
        <f t="shared" si="21"/>
        <v>2.5000000000000001E-2</v>
      </c>
      <c r="T91" s="3">
        <f t="shared" si="22"/>
        <v>-0.189</v>
      </c>
      <c r="U91" s="3"/>
      <c r="V91" s="3">
        <f t="shared" si="23"/>
        <v>0.53500000000000003</v>
      </c>
      <c r="W91" s="3">
        <f t="shared" si="24"/>
        <v>-0.48799999999999999</v>
      </c>
      <c r="Y91" s="3">
        <f t="shared" si="25"/>
        <v>-1.887</v>
      </c>
      <c r="Z91" s="3">
        <f t="shared" si="26"/>
        <v>4.7000000000000042E-2</v>
      </c>
      <c r="AA91" s="3">
        <f t="shared" si="27"/>
        <v>-1.8399999999999999</v>
      </c>
      <c r="AB91" s="3"/>
      <c r="AC91" s="2" t="str">
        <f t="shared" si="28"/>
        <v>1983-07</v>
      </c>
      <c r="AD91" s="9">
        <f t="shared" si="29"/>
        <v>4.6490000000000009</v>
      </c>
      <c r="AE91" s="9">
        <f t="shared" si="30"/>
        <v>1.7320000000000007</v>
      </c>
      <c r="AF91" s="9">
        <f t="shared" si="31"/>
        <v>6.3810000000000002</v>
      </c>
      <c r="AG91" s="9"/>
      <c r="AH91" s="10">
        <v>30498</v>
      </c>
      <c r="AI91" s="9">
        <f t="shared" si="32"/>
        <v>12.22</v>
      </c>
      <c r="AJ91" s="9">
        <f t="shared" si="33"/>
        <v>-1.224</v>
      </c>
      <c r="AK91" s="9">
        <f t="shared" si="34"/>
        <v>0.32800000000000001</v>
      </c>
      <c r="AL91" s="9">
        <f t="shared" si="35"/>
        <v>-6.6750000000000007</v>
      </c>
      <c r="AM91" s="12">
        <f t="shared" si="36"/>
        <v>-5.8390000000000004</v>
      </c>
    </row>
    <row r="92" spans="1:39" x14ac:dyDescent="0.25">
      <c r="A92">
        <v>99996</v>
      </c>
      <c r="B92" t="s">
        <v>77</v>
      </c>
      <c r="C92" s="13">
        <v>12781</v>
      </c>
      <c r="D92" s="13">
        <v>1199</v>
      </c>
      <c r="E92" s="13">
        <v>977</v>
      </c>
      <c r="F92" s="13">
        <v>5185</v>
      </c>
      <c r="G92" s="13">
        <v>2837</v>
      </c>
      <c r="H92" s="13">
        <v>1040</v>
      </c>
      <c r="J92" s="13">
        <v>14154</v>
      </c>
      <c r="K92" s="13">
        <v>1157</v>
      </c>
      <c r="L92" s="13">
        <v>839</v>
      </c>
      <c r="M92" s="13">
        <v>5154</v>
      </c>
      <c r="N92" s="13">
        <v>3203</v>
      </c>
      <c r="O92" s="13">
        <v>1250</v>
      </c>
      <c r="Q92" s="3">
        <f t="shared" si="19"/>
        <v>-1.373</v>
      </c>
      <c r="R92" s="3">
        <f t="shared" si="20"/>
        <v>4.2000000000000003E-2</v>
      </c>
      <c r="S92" s="3">
        <f t="shared" si="21"/>
        <v>0.13800000000000001</v>
      </c>
      <c r="T92" s="3">
        <f t="shared" si="22"/>
        <v>-0.36599999999999999</v>
      </c>
      <c r="U92" s="3"/>
      <c r="V92" s="3">
        <f t="shared" si="23"/>
        <v>3.1E-2</v>
      </c>
      <c r="W92" s="3">
        <f t="shared" si="24"/>
        <v>-0.21</v>
      </c>
      <c r="Y92" s="3">
        <f t="shared" si="25"/>
        <v>-1.5590000000000002</v>
      </c>
      <c r="Z92" s="3">
        <f t="shared" si="26"/>
        <v>-0.17899999999999999</v>
      </c>
      <c r="AA92" s="3">
        <f t="shared" si="27"/>
        <v>-1.7380000000000002</v>
      </c>
      <c r="AB92" s="3"/>
      <c r="AC92" s="2" t="str">
        <f t="shared" si="28"/>
        <v>1983-08</v>
      </c>
      <c r="AD92" s="9">
        <f t="shared" si="29"/>
        <v>3.8790000000000004</v>
      </c>
      <c r="AE92" s="9">
        <f t="shared" si="30"/>
        <v>1.0010000000000001</v>
      </c>
      <c r="AF92" s="9">
        <f t="shared" si="31"/>
        <v>4.88</v>
      </c>
      <c r="AG92" s="9"/>
      <c r="AH92" s="10">
        <v>30529</v>
      </c>
      <c r="AI92" s="9">
        <f t="shared" si="32"/>
        <v>9.9830000000000005</v>
      </c>
      <c r="AJ92" s="9">
        <f t="shared" si="33"/>
        <v>-0.92400000000000004</v>
      </c>
      <c r="AK92" s="9">
        <f t="shared" si="34"/>
        <v>0.46300000000000002</v>
      </c>
      <c r="AL92" s="9">
        <f t="shared" si="35"/>
        <v>-5.6430000000000007</v>
      </c>
      <c r="AM92" s="12">
        <f t="shared" si="36"/>
        <v>-5.1030000000000006</v>
      </c>
    </row>
    <row r="93" spans="1:39" x14ac:dyDescent="0.25">
      <c r="A93">
        <v>99996</v>
      </c>
      <c r="B93" t="s">
        <v>78</v>
      </c>
      <c r="C93" s="13">
        <v>13729</v>
      </c>
      <c r="D93" s="13">
        <v>1305</v>
      </c>
      <c r="E93" s="13">
        <v>595</v>
      </c>
      <c r="F93" s="13">
        <v>5499</v>
      </c>
      <c r="G93" s="13">
        <v>3760</v>
      </c>
      <c r="H93" s="13">
        <v>1333</v>
      </c>
      <c r="J93" s="13">
        <v>12596</v>
      </c>
      <c r="K93" s="13">
        <v>1506</v>
      </c>
      <c r="L93" s="13">
        <v>461</v>
      </c>
      <c r="M93" s="13">
        <v>5103</v>
      </c>
      <c r="N93" s="13">
        <v>3771</v>
      </c>
      <c r="O93" s="13">
        <v>1409</v>
      </c>
      <c r="Q93" s="3">
        <f t="shared" si="19"/>
        <v>1.133</v>
      </c>
      <c r="R93" s="3">
        <f t="shared" si="20"/>
        <v>-0.20100000000000001</v>
      </c>
      <c r="S93" s="3">
        <f t="shared" si="21"/>
        <v>0.13400000000000001</v>
      </c>
      <c r="T93" s="3">
        <f t="shared" si="22"/>
        <v>-1.0999999999999999E-2</v>
      </c>
      <c r="U93" s="3"/>
      <c r="V93" s="3">
        <f t="shared" si="23"/>
        <v>0.39600000000000002</v>
      </c>
      <c r="W93" s="3">
        <f t="shared" si="24"/>
        <v>-7.5999999999999998E-2</v>
      </c>
      <c r="Y93" s="3">
        <f t="shared" si="25"/>
        <v>1.0549999999999999</v>
      </c>
      <c r="Z93" s="3">
        <f t="shared" si="26"/>
        <v>0.32</v>
      </c>
      <c r="AA93" s="3">
        <f t="shared" si="27"/>
        <v>1.375</v>
      </c>
      <c r="AB93" s="3"/>
      <c r="AC93" s="2" t="str">
        <f t="shared" si="28"/>
        <v>1983-09</v>
      </c>
      <c r="AD93" s="9">
        <f t="shared" si="29"/>
        <v>3.6369999999999996</v>
      </c>
      <c r="AE93" s="9">
        <f t="shared" si="30"/>
        <v>1.5770000000000004</v>
      </c>
      <c r="AF93" s="9">
        <f t="shared" si="31"/>
        <v>5.2139999999999995</v>
      </c>
      <c r="AG93" s="9"/>
      <c r="AH93" s="10">
        <v>30560</v>
      </c>
      <c r="AI93" s="9">
        <f t="shared" si="32"/>
        <v>8.7750000000000004</v>
      </c>
      <c r="AJ93" s="9">
        <f t="shared" si="33"/>
        <v>-1.0649999999999999</v>
      </c>
      <c r="AK93" s="9">
        <f t="shared" si="34"/>
        <v>0.45899999999999996</v>
      </c>
      <c r="AL93" s="9">
        <f t="shared" si="35"/>
        <v>-4.532</v>
      </c>
      <c r="AM93" s="12">
        <f t="shared" si="36"/>
        <v>-3.5610000000000008</v>
      </c>
    </row>
    <row r="94" spans="1:39" x14ac:dyDescent="0.25">
      <c r="A94">
        <v>99996</v>
      </c>
      <c r="B94" t="s">
        <v>79</v>
      </c>
      <c r="C94" s="13">
        <v>15149</v>
      </c>
      <c r="D94" s="13">
        <v>1765</v>
      </c>
      <c r="E94" s="13">
        <v>772</v>
      </c>
      <c r="F94" s="13">
        <v>5530</v>
      </c>
      <c r="G94" s="13">
        <v>3906</v>
      </c>
      <c r="H94" s="13">
        <v>1150</v>
      </c>
      <c r="J94" s="13">
        <v>12787</v>
      </c>
      <c r="K94" s="13">
        <v>1757</v>
      </c>
      <c r="L94" s="13">
        <v>740</v>
      </c>
      <c r="M94" s="13">
        <v>5380</v>
      </c>
      <c r="N94" s="13">
        <v>4106</v>
      </c>
      <c r="O94" s="13">
        <v>1157</v>
      </c>
      <c r="Q94" s="3">
        <f t="shared" si="19"/>
        <v>2.3620000000000001</v>
      </c>
      <c r="R94" s="3">
        <f t="shared" si="20"/>
        <v>8.0000000000000002E-3</v>
      </c>
      <c r="S94" s="3">
        <f t="shared" si="21"/>
        <v>3.2000000000000001E-2</v>
      </c>
      <c r="T94" s="3">
        <f t="shared" si="22"/>
        <v>-0.2</v>
      </c>
      <c r="U94" s="3"/>
      <c r="V94" s="3">
        <f t="shared" si="23"/>
        <v>0.15</v>
      </c>
      <c r="W94" s="3">
        <f t="shared" si="24"/>
        <v>-7.0000000000000001E-3</v>
      </c>
      <c r="Y94" s="3">
        <f t="shared" si="25"/>
        <v>2.202</v>
      </c>
      <c r="Z94" s="3">
        <f t="shared" si="26"/>
        <v>0.14299999999999999</v>
      </c>
      <c r="AA94" s="3">
        <f t="shared" si="27"/>
        <v>2.3449999999999998</v>
      </c>
      <c r="AB94" s="3"/>
      <c r="AC94" s="2" t="str">
        <f t="shared" si="28"/>
        <v>1983-10</v>
      </c>
      <c r="AD94" s="9">
        <f t="shared" si="29"/>
        <v>5.5609999999999999</v>
      </c>
      <c r="AE94" s="9">
        <f t="shared" si="30"/>
        <v>1.7710000000000006</v>
      </c>
      <c r="AF94" s="9">
        <f t="shared" si="31"/>
        <v>7.3319999999999999</v>
      </c>
      <c r="AG94" s="9"/>
      <c r="AH94" s="10">
        <v>30590</v>
      </c>
      <c r="AI94" s="9">
        <f t="shared" si="32"/>
        <v>9.4350000000000005</v>
      </c>
      <c r="AJ94" s="9">
        <f t="shared" si="33"/>
        <v>-1.1019999999999999</v>
      </c>
      <c r="AK94" s="9">
        <f t="shared" si="34"/>
        <v>0.52200000000000002</v>
      </c>
      <c r="AL94" s="9">
        <f t="shared" si="35"/>
        <v>-3.2940000000000005</v>
      </c>
      <c r="AM94" s="12">
        <f t="shared" si="36"/>
        <v>-2.1030000000000006</v>
      </c>
    </row>
    <row r="95" spans="1:39" x14ac:dyDescent="0.25">
      <c r="A95">
        <v>99996</v>
      </c>
      <c r="B95" t="s">
        <v>80</v>
      </c>
      <c r="C95" s="13">
        <v>11193</v>
      </c>
      <c r="D95" s="13">
        <v>1336</v>
      </c>
      <c r="E95" s="13">
        <v>703</v>
      </c>
      <c r="F95" s="13">
        <v>4848</v>
      </c>
      <c r="G95" s="13">
        <v>3117</v>
      </c>
      <c r="H95" s="13">
        <v>914</v>
      </c>
      <c r="J95" s="13">
        <v>12595</v>
      </c>
      <c r="K95" s="13">
        <v>807</v>
      </c>
      <c r="L95" s="13">
        <v>497</v>
      </c>
      <c r="M95" s="13">
        <v>4789</v>
      </c>
      <c r="N95" s="13">
        <v>2946</v>
      </c>
      <c r="O95" s="13">
        <v>940</v>
      </c>
      <c r="Q95" s="3">
        <f t="shared" si="19"/>
        <v>-1.4019999999999999</v>
      </c>
      <c r="R95" s="3">
        <f t="shared" si="20"/>
        <v>0.52900000000000003</v>
      </c>
      <c r="S95" s="3">
        <f t="shared" si="21"/>
        <v>0.20599999999999999</v>
      </c>
      <c r="T95" s="3">
        <f t="shared" si="22"/>
        <v>0.17100000000000001</v>
      </c>
      <c r="U95" s="3"/>
      <c r="V95" s="3">
        <f t="shared" si="23"/>
        <v>5.8999999999999997E-2</v>
      </c>
      <c r="W95" s="3">
        <f t="shared" si="24"/>
        <v>-2.5999999999999999E-2</v>
      </c>
      <c r="Y95" s="3">
        <f t="shared" si="25"/>
        <v>-0.49599999999999989</v>
      </c>
      <c r="Z95" s="3">
        <f t="shared" si="26"/>
        <v>3.3000000000000002E-2</v>
      </c>
      <c r="AA95" s="3">
        <f t="shared" si="27"/>
        <v>-0.46299999999999991</v>
      </c>
      <c r="AB95" s="3"/>
      <c r="AC95" s="2" t="str">
        <f t="shared" si="28"/>
        <v>1983-11</v>
      </c>
      <c r="AD95" s="9">
        <f t="shared" si="29"/>
        <v>4.782</v>
      </c>
      <c r="AE95" s="9">
        <f t="shared" si="30"/>
        <v>2.2010000000000005</v>
      </c>
      <c r="AF95" s="9">
        <f t="shared" si="31"/>
        <v>6.9829999999999997</v>
      </c>
      <c r="AG95" s="9"/>
      <c r="AH95" s="10">
        <v>30621</v>
      </c>
      <c r="AI95" s="9">
        <f t="shared" si="32"/>
        <v>7.2250000000000005</v>
      </c>
      <c r="AJ95" s="9">
        <f t="shared" si="33"/>
        <v>-0.35099999999999987</v>
      </c>
      <c r="AK95" s="9">
        <f t="shared" si="34"/>
        <v>0.67099999999999993</v>
      </c>
      <c r="AL95" s="9">
        <f t="shared" si="35"/>
        <v>-2.7630000000000003</v>
      </c>
      <c r="AM95" s="12">
        <f t="shared" si="36"/>
        <v>-0.24200000000000088</v>
      </c>
    </row>
    <row r="96" spans="1:39" x14ac:dyDescent="0.25">
      <c r="A96">
        <v>99996</v>
      </c>
      <c r="B96" t="s">
        <v>81</v>
      </c>
      <c r="C96" s="13">
        <v>7216</v>
      </c>
      <c r="D96" s="13">
        <v>931</v>
      </c>
      <c r="E96" s="13">
        <v>767</v>
      </c>
      <c r="F96" s="13">
        <v>6007</v>
      </c>
      <c r="G96" s="13">
        <v>3076</v>
      </c>
      <c r="H96" s="13">
        <v>1132</v>
      </c>
      <c r="J96" s="13">
        <v>7846</v>
      </c>
      <c r="K96" s="13">
        <v>851</v>
      </c>
      <c r="L96" s="13">
        <v>645</v>
      </c>
      <c r="M96" s="13">
        <v>5736</v>
      </c>
      <c r="N96" s="13">
        <v>3960</v>
      </c>
      <c r="O96" s="13">
        <v>1320</v>
      </c>
      <c r="Q96" s="3">
        <f t="shared" si="19"/>
        <v>-0.63</v>
      </c>
      <c r="R96" s="3">
        <f t="shared" si="20"/>
        <v>0.08</v>
      </c>
      <c r="S96" s="3">
        <f t="shared" si="21"/>
        <v>0.122</v>
      </c>
      <c r="T96" s="3">
        <f t="shared" si="22"/>
        <v>-0.88400000000000001</v>
      </c>
      <c r="U96" s="3"/>
      <c r="V96" s="3">
        <f t="shared" si="23"/>
        <v>0.27100000000000002</v>
      </c>
      <c r="W96" s="3">
        <f t="shared" si="24"/>
        <v>-0.188</v>
      </c>
      <c r="Y96" s="3">
        <f t="shared" si="25"/>
        <v>-1.3120000000000001</v>
      </c>
      <c r="Z96" s="3">
        <f t="shared" si="26"/>
        <v>8.3000000000000018E-2</v>
      </c>
      <c r="AA96" s="3">
        <f t="shared" si="27"/>
        <v>-1.2289999999999999</v>
      </c>
      <c r="AB96" s="3"/>
      <c r="AC96" s="2" t="str">
        <f t="shared" si="28"/>
        <v>1983-12</v>
      </c>
      <c r="AD96" s="9">
        <f t="shared" si="29"/>
        <v>3.0870000000000006</v>
      </c>
      <c r="AE96" s="9">
        <f t="shared" si="30"/>
        <v>1.6360000000000001</v>
      </c>
      <c r="AF96" s="9">
        <f t="shared" si="31"/>
        <v>4.7229999999999999</v>
      </c>
      <c r="AG96" s="9"/>
      <c r="AH96" s="10">
        <v>30651</v>
      </c>
      <c r="AI96" s="9">
        <f t="shared" si="32"/>
        <v>5.4290000000000003</v>
      </c>
      <c r="AJ96" s="9">
        <f t="shared" si="33"/>
        <v>-1.7999999999999974E-2</v>
      </c>
      <c r="AK96" s="9">
        <f t="shared" si="34"/>
        <v>0.91899999999999993</v>
      </c>
      <c r="AL96" s="9">
        <f t="shared" si="35"/>
        <v>-3.2430000000000003</v>
      </c>
      <c r="AM96" s="12">
        <f t="shared" si="36"/>
        <v>-0.70600000000000041</v>
      </c>
    </row>
    <row r="97" spans="1:39" x14ac:dyDescent="0.25">
      <c r="A97">
        <v>99996</v>
      </c>
      <c r="B97" t="s">
        <v>82</v>
      </c>
      <c r="C97" s="13">
        <v>15021</v>
      </c>
      <c r="D97" s="13">
        <v>1098</v>
      </c>
      <c r="E97" s="13">
        <v>701</v>
      </c>
      <c r="F97" s="13">
        <v>5282</v>
      </c>
      <c r="G97" s="13">
        <v>3479</v>
      </c>
      <c r="H97" s="13">
        <v>1264</v>
      </c>
      <c r="J97" s="13">
        <v>14248</v>
      </c>
      <c r="K97" s="13">
        <v>1220</v>
      </c>
      <c r="L97" s="13">
        <v>525</v>
      </c>
      <c r="M97" s="13">
        <v>5677</v>
      </c>
      <c r="N97" s="13">
        <v>3206</v>
      </c>
      <c r="O97" s="13">
        <v>1362</v>
      </c>
      <c r="Q97" s="3">
        <f t="shared" si="19"/>
        <v>0.77300000000000002</v>
      </c>
      <c r="R97" s="3">
        <f t="shared" si="20"/>
        <v>-0.122</v>
      </c>
      <c r="S97" s="3">
        <f t="shared" si="21"/>
        <v>0.17599999999999999</v>
      </c>
      <c r="T97" s="3">
        <f t="shared" si="22"/>
        <v>0.27300000000000002</v>
      </c>
      <c r="U97" s="3"/>
      <c r="V97" s="3">
        <f t="shared" si="23"/>
        <v>-0.39500000000000002</v>
      </c>
      <c r="W97" s="3">
        <f t="shared" si="24"/>
        <v>-9.8000000000000004E-2</v>
      </c>
      <c r="Y97" s="3">
        <f t="shared" si="25"/>
        <v>1.1000000000000001</v>
      </c>
      <c r="Z97" s="3">
        <f t="shared" si="26"/>
        <v>-0.49299999999999999</v>
      </c>
      <c r="AA97" s="3">
        <f t="shared" si="27"/>
        <v>0.6070000000000001</v>
      </c>
      <c r="AB97" s="3"/>
      <c r="AC97" s="2" t="str">
        <f t="shared" si="28"/>
        <v>1984-01</v>
      </c>
      <c r="AD97" s="9">
        <f t="shared" si="29"/>
        <v>3.6190000000000002</v>
      </c>
      <c r="AE97" s="9">
        <f t="shared" si="30"/>
        <v>0.66099999999999992</v>
      </c>
      <c r="AF97" s="9">
        <f t="shared" si="31"/>
        <v>4.2799999999999994</v>
      </c>
      <c r="AG97" s="9"/>
      <c r="AH97" s="10">
        <v>30682</v>
      </c>
      <c r="AI97" s="9">
        <f t="shared" si="32"/>
        <v>5.4329999999999998</v>
      </c>
      <c r="AJ97" s="9">
        <f t="shared" si="33"/>
        <v>7.0000000000000062E-3</v>
      </c>
      <c r="AK97" s="9">
        <f t="shared" si="34"/>
        <v>1.2869999999999999</v>
      </c>
      <c r="AL97" s="9">
        <f t="shared" si="35"/>
        <v>-3.1080000000000001</v>
      </c>
      <c r="AM97" s="12">
        <f t="shared" si="36"/>
        <v>-1.1530000000000005</v>
      </c>
    </row>
    <row r="98" spans="1:39" x14ac:dyDescent="0.25">
      <c r="A98">
        <v>99996</v>
      </c>
      <c r="B98" t="s">
        <v>83</v>
      </c>
      <c r="C98" s="13">
        <v>12624</v>
      </c>
      <c r="D98" s="13">
        <v>1361</v>
      </c>
      <c r="E98" s="13">
        <v>636</v>
      </c>
      <c r="F98" s="13">
        <v>6062</v>
      </c>
      <c r="G98" s="13">
        <v>4065</v>
      </c>
      <c r="H98" s="13">
        <v>1548</v>
      </c>
      <c r="J98" s="13">
        <v>12068</v>
      </c>
      <c r="K98" s="13">
        <v>1142</v>
      </c>
      <c r="L98" s="13">
        <v>785</v>
      </c>
      <c r="M98" s="13">
        <v>5656</v>
      </c>
      <c r="N98" s="13">
        <v>4066</v>
      </c>
      <c r="O98" s="13">
        <v>1198</v>
      </c>
      <c r="Q98" s="3">
        <f t="shared" si="19"/>
        <v>0.55600000000000005</v>
      </c>
      <c r="R98" s="3">
        <f t="shared" si="20"/>
        <v>0.219</v>
      </c>
      <c r="S98" s="3">
        <f t="shared" si="21"/>
        <v>-0.14899999999999999</v>
      </c>
      <c r="T98" s="3">
        <f t="shared" si="22"/>
        <v>-1E-3</v>
      </c>
      <c r="U98" s="3"/>
      <c r="V98" s="3">
        <f t="shared" si="23"/>
        <v>0.40600000000000003</v>
      </c>
      <c r="W98" s="3">
        <f t="shared" si="24"/>
        <v>0.35</v>
      </c>
      <c r="Y98" s="3">
        <f t="shared" si="25"/>
        <v>0.625</v>
      </c>
      <c r="Z98" s="3">
        <f t="shared" si="26"/>
        <v>0.75600000000000001</v>
      </c>
      <c r="AA98" s="3">
        <f t="shared" si="27"/>
        <v>1.3810000000000002</v>
      </c>
      <c r="AB98" s="3"/>
      <c r="AC98" s="2" t="str">
        <f t="shared" si="28"/>
        <v>1984-02</v>
      </c>
      <c r="AD98" s="9">
        <f t="shared" si="29"/>
        <v>3.9590000000000001</v>
      </c>
      <c r="AE98" s="9">
        <f t="shared" si="30"/>
        <v>0.66500000000000004</v>
      </c>
      <c r="AF98" s="9">
        <f t="shared" si="31"/>
        <v>4.6239999999999997</v>
      </c>
      <c r="AG98" s="9"/>
      <c r="AH98" s="10">
        <v>30713</v>
      </c>
      <c r="AI98" s="9">
        <f t="shared" si="32"/>
        <v>5.3940000000000001</v>
      </c>
      <c r="AJ98" s="9">
        <f t="shared" si="33"/>
        <v>0.31600000000000006</v>
      </c>
      <c r="AK98" s="9">
        <f t="shared" si="34"/>
        <v>1.0939999999999999</v>
      </c>
      <c r="AL98" s="9">
        <f t="shared" si="35"/>
        <v>-2.8450000000000002</v>
      </c>
      <c r="AM98" s="12">
        <f t="shared" si="36"/>
        <v>-0.77000000000000046</v>
      </c>
    </row>
    <row r="99" spans="1:39" x14ac:dyDescent="0.25">
      <c r="A99">
        <v>99996</v>
      </c>
      <c r="B99" t="s">
        <v>84</v>
      </c>
      <c r="C99" s="13">
        <v>7814</v>
      </c>
      <c r="D99" s="13">
        <v>1388</v>
      </c>
      <c r="E99" s="13">
        <v>948</v>
      </c>
      <c r="F99" s="13">
        <v>5900</v>
      </c>
      <c r="G99" s="13">
        <v>5021</v>
      </c>
      <c r="H99" s="13">
        <v>1655</v>
      </c>
      <c r="J99" s="13">
        <v>8340</v>
      </c>
      <c r="K99" s="13">
        <v>1539</v>
      </c>
      <c r="L99" s="13">
        <v>492</v>
      </c>
      <c r="M99" s="13">
        <v>5481</v>
      </c>
      <c r="N99" s="13">
        <v>5007</v>
      </c>
      <c r="O99" s="13">
        <v>1510</v>
      </c>
      <c r="Q99" s="3">
        <f t="shared" si="19"/>
        <v>-0.52600000000000002</v>
      </c>
      <c r="R99" s="3">
        <f t="shared" si="20"/>
        <v>-0.151</v>
      </c>
      <c r="S99" s="3">
        <f t="shared" si="21"/>
        <v>0.45600000000000002</v>
      </c>
      <c r="T99" s="3">
        <f t="shared" si="22"/>
        <v>1.4E-2</v>
      </c>
      <c r="U99" s="3"/>
      <c r="V99" s="3">
        <f t="shared" si="23"/>
        <v>0.41899999999999998</v>
      </c>
      <c r="W99" s="3">
        <f t="shared" si="24"/>
        <v>0.14499999999999999</v>
      </c>
      <c r="Y99" s="3">
        <f t="shared" si="25"/>
        <v>-0.20700000000000002</v>
      </c>
      <c r="Z99" s="3">
        <f t="shared" si="26"/>
        <v>0.56399999999999995</v>
      </c>
      <c r="AA99" s="3">
        <f t="shared" si="27"/>
        <v>0.35699999999999998</v>
      </c>
      <c r="AB99" s="3"/>
      <c r="AC99" s="2" t="str">
        <f t="shared" si="28"/>
        <v>1984-03</v>
      </c>
      <c r="AD99" s="9">
        <f t="shared" si="29"/>
        <v>1.7979999999999998</v>
      </c>
      <c r="AE99" s="9">
        <f t="shared" si="30"/>
        <v>0.73899999999999999</v>
      </c>
      <c r="AF99" s="9">
        <f t="shared" si="31"/>
        <v>2.5370000000000008</v>
      </c>
      <c r="AG99" s="9"/>
      <c r="AH99" s="10">
        <v>30742</v>
      </c>
      <c r="AI99" s="9">
        <f t="shared" si="32"/>
        <v>2.2620000000000005</v>
      </c>
      <c r="AJ99" s="9">
        <f t="shared" si="33"/>
        <v>0.36099999999999999</v>
      </c>
      <c r="AK99" s="9">
        <f t="shared" si="34"/>
        <v>1.4909999999999999</v>
      </c>
      <c r="AL99" s="9">
        <f t="shared" si="35"/>
        <v>-2.3159999999999998</v>
      </c>
      <c r="AM99" s="12">
        <f t="shared" si="36"/>
        <v>0.27500000000000036</v>
      </c>
    </row>
    <row r="100" spans="1:39" x14ac:dyDescent="0.25">
      <c r="A100">
        <v>99996</v>
      </c>
      <c r="B100" t="s">
        <v>85</v>
      </c>
      <c r="C100" s="13">
        <v>12182</v>
      </c>
      <c r="D100" s="13">
        <v>1132</v>
      </c>
      <c r="E100" s="13">
        <v>589</v>
      </c>
      <c r="F100" s="13">
        <v>4364</v>
      </c>
      <c r="G100" s="13">
        <v>3880</v>
      </c>
      <c r="H100" s="13">
        <v>1290</v>
      </c>
      <c r="J100" s="13">
        <v>9878</v>
      </c>
      <c r="K100" s="13">
        <v>1196</v>
      </c>
      <c r="L100" s="13">
        <v>664</v>
      </c>
      <c r="M100" s="13">
        <v>4056</v>
      </c>
      <c r="N100" s="13">
        <v>4171</v>
      </c>
      <c r="O100" s="13">
        <v>1309</v>
      </c>
      <c r="Q100" s="3">
        <f t="shared" si="19"/>
        <v>2.3039999999999998</v>
      </c>
      <c r="R100" s="3">
        <f t="shared" si="20"/>
        <v>-6.4000000000000001E-2</v>
      </c>
      <c r="S100" s="3">
        <f t="shared" si="21"/>
        <v>-7.4999999999999997E-2</v>
      </c>
      <c r="T100" s="3">
        <f t="shared" si="22"/>
        <v>-0.29099999999999998</v>
      </c>
      <c r="U100" s="3"/>
      <c r="V100" s="3">
        <f t="shared" si="23"/>
        <v>0.308</v>
      </c>
      <c r="W100" s="3">
        <f t="shared" si="24"/>
        <v>-1.9E-2</v>
      </c>
      <c r="Y100" s="3">
        <f t="shared" si="25"/>
        <v>1.8739999999999997</v>
      </c>
      <c r="Z100" s="3">
        <f t="shared" si="26"/>
        <v>0.28899999999999998</v>
      </c>
      <c r="AA100" s="3">
        <f t="shared" si="27"/>
        <v>2.1629999999999994</v>
      </c>
      <c r="AB100" s="3"/>
      <c r="AC100" s="2" t="str">
        <f t="shared" si="28"/>
        <v>1984-04</v>
      </c>
      <c r="AD100" s="9">
        <f t="shared" si="29"/>
        <v>4.9489999999999998</v>
      </c>
      <c r="AE100" s="9">
        <f t="shared" si="30"/>
        <v>0.98099999999999987</v>
      </c>
      <c r="AF100" s="9">
        <f t="shared" si="31"/>
        <v>5.93</v>
      </c>
      <c r="AG100" s="9"/>
      <c r="AH100" s="10">
        <v>30773</v>
      </c>
      <c r="AI100" s="9">
        <f t="shared" si="32"/>
        <v>5.7089999999999996</v>
      </c>
      <c r="AJ100" s="9">
        <f t="shared" si="33"/>
        <v>0.20400000000000001</v>
      </c>
      <c r="AK100" s="9">
        <f t="shared" si="34"/>
        <v>1.119</v>
      </c>
      <c r="AL100" s="9">
        <f t="shared" si="35"/>
        <v>-2.0829999999999997</v>
      </c>
      <c r="AM100" s="12">
        <f t="shared" si="36"/>
        <v>0.22100000000000009</v>
      </c>
    </row>
    <row r="101" spans="1:39" x14ac:dyDescent="0.25">
      <c r="A101">
        <v>99996</v>
      </c>
      <c r="B101" t="s">
        <v>86</v>
      </c>
      <c r="C101" s="13">
        <v>16917</v>
      </c>
      <c r="D101" s="13">
        <v>1003</v>
      </c>
      <c r="E101" s="13">
        <v>590</v>
      </c>
      <c r="F101" s="13">
        <v>4843</v>
      </c>
      <c r="G101" s="13">
        <v>5136</v>
      </c>
      <c r="H101" s="13">
        <v>1195</v>
      </c>
      <c r="J101" s="13">
        <v>15481</v>
      </c>
      <c r="K101" s="13">
        <v>899</v>
      </c>
      <c r="L101" s="13">
        <v>536</v>
      </c>
      <c r="M101" s="13">
        <v>5378</v>
      </c>
      <c r="N101" s="13">
        <v>5827</v>
      </c>
      <c r="O101" s="13">
        <v>1144</v>
      </c>
      <c r="Q101" s="3">
        <f t="shared" si="19"/>
        <v>1.4359999999999999</v>
      </c>
      <c r="R101" s="3">
        <f t="shared" si="20"/>
        <v>0.104</v>
      </c>
      <c r="S101" s="3">
        <f t="shared" si="21"/>
        <v>5.3999999999999999E-2</v>
      </c>
      <c r="T101" s="3">
        <f t="shared" si="22"/>
        <v>-0.69099999999999995</v>
      </c>
      <c r="U101" s="3"/>
      <c r="V101" s="3">
        <f t="shared" si="23"/>
        <v>-0.53500000000000003</v>
      </c>
      <c r="W101" s="3">
        <f t="shared" si="24"/>
        <v>5.0999999999999997E-2</v>
      </c>
      <c r="Y101" s="3">
        <f t="shared" si="25"/>
        <v>0.90300000000000014</v>
      </c>
      <c r="Z101" s="3">
        <f t="shared" si="26"/>
        <v>-0.48400000000000004</v>
      </c>
      <c r="AA101" s="3">
        <f t="shared" si="27"/>
        <v>0.41900000000000009</v>
      </c>
      <c r="AB101" s="3"/>
      <c r="AC101" s="2" t="str">
        <f t="shared" si="28"/>
        <v>1984-05</v>
      </c>
      <c r="AD101" s="9">
        <f t="shared" si="29"/>
        <v>3.8969999999999998</v>
      </c>
      <c r="AE101" s="9">
        <f t="shared" si="30"/>
        <v>0.87399999999999989</v>
      </c>
      <c r="AF101" s="9">
        <f t="shared" si="31"/>
        <v>4.7709999999999999</v>
      </c>
      <c r="AG101" s="9"/>
      <c r="AH101" s="10">
        <v>30803</v>
      </c>
      <c r="AI101" s="9">
        <f t="shared" si="32"/>
        <v>4.5220000000000002</v>
      </c>
      <c r="AJ101" s="9">
        <f t="shared" si="33"/>
        <v>0.32800000000000001</v>
      </c>
      <c r="AK101" s="9">
        <f t="shared" si="34"/>
        <v>0.98399999999999999</v>
      </c>
      <c r="AL101" s="9">
        <f t="shared" si="35"/>
        <v>-1.9369999999999998</v>
      </c>
      <c r="AM101" s="12">
        <f t="shared" si="36"/>
        <v>0.24899999999999967</v>
      </c>
    </row>
    <row r="102" spans="1:39" x14ac:dyDescent="0.25">
      <c r="A102">
        <v>99996</v>
      </c>
      <c r="B102" t="s">
        <v>87</v>
      </c>
      <c r="C102" s="13">
        <v>16120</v>
      </c>
      <c r="D102" s="13">
        <v>1147</v>
      </c>
      <c r="E102" s="13">
        <v>821</v>
      </c>
      <c r="F102" s="13">
        <v>4559</v>
      </c>
      <c r="G102" s="13">
        <v>5164</v>
      </c>
      <c r="H102" s="13">
        <v>1139</v>
      </c>
      <c r="J102" s="13">
        <v>16445</v>
      </c>
      <c r="K102" s="13">
        <v>1004</v>
      </c>
      <c r="L102" s="13">
        <v>760</v>
      </c>
      <c r="M102" s="13">
        <v>4919</v>
      </c>
      <c r="N102" s="13">
        <v>4994</v>
      </c>
      <c r="O102" s="13">
        <v>1171</v>
      </c>
      <c r="Q102" s="3">
        <f t="shared" si="19"/>
        <v>-0.32500000000000001</v>
      </c>
      <c r="R102" s="3">
        <f t="shared" si="20"/>
        <v>0.14299999999999999</v>
      </c>
      <c r="S102" s="3">
        <f t="shared" si="21"/>
        <v>6.0999999999999999E-2</v>
      </c>
      <c r="T102" s="3">
        <f t="shared" si="22"/>
        <v>0.17</v>
      </c>
      <c r="U102" s="3"/>
      <c r="V102" s="3">
        <f t="shared" si="23"/>
        <v>-0.36</v>
      </c>
      <c r="W102" s="3">
        <f t="shared" si="24"/>
        <v>-3.2000000000000001E-2</v>
      </c>
      <c r="Y102" s="3">
        <f t="shared" si="25"/>
        <v>4.8999999999999988E-2</v>
      </c>
      <c r="Z102" s="3">
        <f t="shared" si="26"/>
        <v>-0.39200000000000002</v>
      </c>
      <c r="AA102" s="3">
        <f t="shared" si="27"/>
        <v>-0.34299999999999997</v>
      </c>
      <c r="AB102" s="3"/>
      <c r="AC102" s="2" t="str">
        <f t="shared" si="28"/>
        <v>1984-06</v>
      </c>
      <c r="AD102" s="9">
        <f t="shared" si="29"/>
        <v>2.347</v>
      </c>
      <c r="AE102" s="9">
        <f t="shared" si="30"/>
        <v>0.68699999999999994</v>
      </c>
      <c r="AF102" s="9">
        <f t="shared" si="31"/>
        <v>3.0339999999999994</v>
      </c>
      <c r="AG102" s="9"/>
      <c r="AH102" s="10">
        <v>30834</v>
      </c>
      <c r="AI102" s="9">
        <f t="shared" si="32"/>
        <v>2.6339999999999999</v>
      </c>
      <c r="AJ102" s="9">
        <f t="shared" si="33"/>
        <v>0.53799999999999992</v>
      </c>
      <c r="AK102" s="9">
        <f t="shared" si="34"/>
        <v>1.18</v>
      </c>
      <c r="AL102" s="9">
        <f t="shared" si="35"/>
        <v>-2.0049999999999999</v>
      </c>
      <c r="AM102" s="12">
        <f t="shared" si="36"/>
        <v>0.39999999999999947</v>
      </c>
    </row>
    <row r="103" spans="1:39" x14ac:dyDescent="0.25">
      <c r="A103">
        <v>99996</v>
      </c>
      <c r="B103" t="s">
        <v>88</v>
      </c>
      <c r="C103" s="13">
        <v>22825</v>
      </c>
      <c r="D103" s="13">
        <v>2004</v>
      </c>
      <c r="E103" s="13">
        <v>999</v>
      </c>
      <c r="F103" s="13">
        <v>3384</v>
      </c>
      <c r="G103" s="13">
        <v>4229</v>
      </c>
      <c r="H103" s="13">
        <v>907</v>
      </c>
      <c r="J103" s="13">
        <v>21073</v>
      </c>
      <c r="K103" s="13">
        <v>1742</v>
      </c>
      <c r="L103" s="13">
        <v>750</v>
      </c>
      <c r="M103" s="13">
        <v>4007</v>
      </c>
      <c r="N103" s="13">
        <v>4059</v>
      </c>
      <c r="O103" s="13">
        <v>800</v>
      </c>
      <c r="Q103" s="3">
        <f t="shared" si="19"/>
        <v>1.752</v>
      </c>
      <c r="R103" s="3">
        <f t="shared" si="20"/>
        <v>0.26200000000000001</v>
      </c>
      <c r="S103" s="3">
        <f t="shared" si="21"/>
        <v>0.249</v>
      </c>
      <c r="T103" s="3">
        <f t="shared" si="22"/>
        <v>0.17</v>
      </c>
      <c r="U103" s="3"/>
      <c r="V103" s="3">
        <f t="shared" si="23"/>
        <v>-0.623</v>
      </c>
      <c r="W103" s="3">
        <f t="shared" si="24"/>
        <v>0.107</v>
      </c>
      <c r="Y103" s="3">
        <f t="shared" si="25"/>
        <v>2.4330000000000003</v>
      </c>
      <c r="Z103" s="3">
        <f t="shared" si="26"/>
        <v>-0.51600000000000001</v>
      </c>
      <c r="AA103" s="3">
        <f t="shared" si="27"/>
        <v>1.9170000000000003</v>
      </c>
      <c r="AB103" s="3"/>
      <c r="AC103" s="2" t="str">
        <f t="shared" si="28"/>
        <v>1984-07</v>
      </c>
      <c r="AD103" s="9">
        <f t="shared" si="29"/>
        <v>6.6669999999999998</v>
      </c>
      <c r="AE103" s="9">
        <f t="shared" si="30"/>
        <v>0.12399999999999978</v>
      </c>
      <c r="AF103" s="9">
        <f t="shared" si="31"/>
        <v>6.7910000000000004</v>
      </c>
      <c r="AG103" s="9"/>
      <c r="AH103" s="10">
        <v>30864</v>
      </c>
      <c r="AI103" s="9">
        <f t="shared" si="32"/>
        <v>6.06</v>
      </c>
      <c r="AJ103" s="9">
        <f t="shared" si="33"/>
        <v>0.84899999999999998</v>
      </c>
      <c r="AK103" s="9">
        <f t="shared" si="34"/>
        <v>1.4039999999999999</v>
      </c>
      <c r="AL103" s="9">
        <f t="shared" si="35"/>
        <v>-1.6459999999999999</v>
      </c>
      <c r="AM103" s="12">
        <f t="shared" si="36"/>
        <v>0.73100000000000076</v>
      </c>
    </row>
    <row r="104" spans="1:39" x14ac:dyDescent="0.25">
      <c r="A104">
        <v>99996</v>
      </c>
      <c r="B104" t="s">
        <v>89</v>
      </c>
      <c r="C104" s="13">
        <v>25989</v>
      </c>
      <c r="D104" s="13">
        <v>1316</v>
      </c>
      <c r="E104" s="13">
        <v>1661</v>
      </c>
      <c r="F104" s="13">
        <v>7301</v>
      </c>
      <c r="G104" s="13">
        <v>5498</v>
      </c>
      <c r="H104" s="13">
        <v>1246</v>
      </c>
      <c r="J104" s="13">
        <v>19330</v>
      </c>
      <c r="K104" s="13">
        <v>1268</v>
      </c>
      <c r="L104" s="13">
        <v>1057</v>
      </c>
      <c r="M104" s="13">
        <v>7412</v>
      </c>
      <c r="N104" s="13">
        <v>5636</v>
      </c>
      <c r="O104" s="13">
        <v>1745</v>
      </c>
      <c r="Q104" s="3">
        <f t="shared" si="19"/>
        <v>6.6589999999999998</v>
      </c>
      <c r="R104" s="3">
        <f t="shared" si="20"/>
        <v>4.8000000000000001E-2</v>
      </c>
      <c r="S104" s="3">
        <f t="shared" si="21"/>
        <v>0.60399999999999998</v>
      </c>
      <c r="T104" s="3">
        <f t="shared" si="22"/>
        <v>-0.13800000000000001</v>
      </c>
      <c r="U104" s="3"/>
      <c r="V104" s="3">
        <f t="shared" si="23"/>
        <v>-0.111</v>
      </c>
      <c r="W104" s="3">
        <f t="shared" si="24"/>
        <v>-0.499</v>
      </c>
      <c r="Y104" s="3">
        <f t="shared" si="25"/>
        <v>7.173</v>
      </c>
      <c r="Z104" s="3">
        <f t="shared" si="26"/>
        <v>-0.61</v>
      </c>
      <c r="AA104" s="3">
        <f t="shared" si="27"/>
        <v>6.5630000000000006</v>
      </c>
      <c r="AB104" s="3"/>
      <c r="AC104" s="2" t="str">
        <f t="shared" si="28"/>
        <v>1984-08</v>
      </c>
      <c r="AD104" s="9">
        <f t="shared" si="29"/>
        <v>15.399000000000001</v>
      </c>
      <c r="AE104" s="9">
        <f t="shared" si="30"/>
        <v>-0.30700000000000016</v>
      </c>
      <c r="AF104" s="9">
        <f t="shared" si="31"/>
        <v>15.092000000000001</v>
      </c>
      <c r="AG104" s="9"/>
      <c r="AH104" s="10">
        <v>30895</v>
      </c>
      <c r="AI104" s="9">
        <f t="shared" si="32"/>
        <v>14.091999999999999</v>
      </c>
      <c r="AJ104" s="9">
        <f t="shared" si="33"/>
        <v>0.85499999999999998</v>
      </c>
      <c r="AK104" s="9">
        <f t="shared" si="34"/>
        <v>1.87</v>
      </c>
      <c r="AL104" s="9">
        <f t="shared" si="35"/>
        <v>-1.4180000000000001</v>
      </c>
      <c r="AM104" s="12">
        <f t="shared" si="36"/>
        <v>1.0000000000000018</v>
      </c>
    </row>
    <row r="105" spans="1:39" x14ac:dyDescent="0.25">
      <c r="A105">
        <v>99996</v>
      </c>
      <c r="B105" t="s">
        <v>90</v>
      </c>
      <c r="C105" s="13">
        <v>12928</v>
      </c>
      <c r="D105" s="13">
        <v>1419</v>
      </c>
      <c r="E105" s="13">
        <v>1961</v>
      </c>
      <c r="F105" s="13">
        <v>4060</v>
      </c>
      <c r="G105" s="13">
        <v>4104</v>
      </c>
      <c r="H105" s="13">
        <v>923</v>
      </c>
      <c r="J105" s="13">
        <v>16730</v>
      </c>
      <c r="K105" s="13">
        <v>1261</v>
      </c>
      <c r="L105" s="13">
        <v>827</v>
      </c>
      <c r="M105" s="13">
        <v>4910</v>
      </c>
      <c r="N105" s="13">
        <v>4580</v>
      </c>
      <c r="O105" s="13">
        <v>1269</v>
      </c>
      <c r="Q105" s="3">
        <f t="shared" si="19"/>
        <v>-3.802</v>
      </c>
      <c r="R105" s="3">
        <f t="shared" si="20"/>
        <v>0.158</v>
      </c>
      <c r="S105" s="3">
        <f t="shared" si="21"/>
        <v>1.1339999999999999</v>
      </c>
      <c r="T105" s="3">
        <f t="shared" si="22"/>
        <v>-0.47599999999999998</v>
      </c>
      <c r="U105" s="3"/>
      <c r="V105" s="3">
        <f t="shared" si="23"/>
        <v>-0.85</v>
      </c>
      <c r="W105" s="3">
        <f t="shared" si="24"/>
        <v>-0.34599999999999997</v>
      </c>
      <c r="Y105" s="3">
        <f t="shared" si="25"/>
        <v>-2.9860000000000002</v>
      </c>
      <c r="Z105" s="3">
        <f t="shared" si="26"/>
        <v>-1.196</v>
      </c>
      <c r="AA105" s="3">
        <f t="shared" si="27"/>
        <v>-4.1820000000000004</v>
      </c>
      <c r="AB105" s="3"/>
      <c r="AC105" s="2" t="str">
        <f t="shared" si="28"/>
        <v>1984-09</v>
      </c>
      <c r="AD105" s="9">
        <f t="shared" si="29"/>
        <v>11.358000000000001</v>
      </c>
      <c r="AE105" s="9">
        <f t="shared" si="30"/>
        <v>-1.8230000000000002</v>
      </c>
      <c r="AF105" s="9">
        <f t="shared" si="31"/>
        <v>9.5350000000000001</v>
      </c>
      <c r="AG105" s="9"/>
      <c r="AH105" s="10">
        <v>30926</v>
      </c>
      <c r="AI105" s="9">
        <f t="shared" si="32"/>
        <v>9.157</v>
      </c>
      <c r="AJ105" s="9">
        <f t="shared" si="33"/>
        <v>1.214</v>
      </c>
      <c r="AK105" s="9">
        <f t="shared" si="34"/>
        <v>2.87</v>
      </c>
      <c r="AL105" s="9">
        <f t="shared" si="35"/>
        <v>-1.883</v>
      </c>
      <c r="AM105" s="12">
        <f t="shared" si="36"/>
        <v>0.37800000000000011</v>
      </c>
    </row>
    <row r="106" spans="1:39" x14ac:dyDescent="0.25">
      <c r="A106">
        <v>99996</v>
      </c>
      <c r="B106" t="s">
        <v>91</v>
      </c>
      <c r="C106" s="13">
        <v>31704</v>
      </c>
      <c r="D106" s="13">
        <v>1654</v>
      </c>
      <c r="E106" s="13">
        <v>5444</v>
      </c>
      <c r="F106" s="13">
        <v>4741</v>
      </c>
      <c r="G106" s="13">
        <v>4394</v>
      </c>
      <c r="H106" s="13">
        <v>1334</v>
      </c>
      <c r="J106" s="13">
        <v>28765</v>
      </c>
      <c r="K106" s="13">
        <v>1634</v>
      </c>
      <c r="L106" s="13">
        <v>1513</v>
      </c>
      <c r="M106" s="13">
        <v>5489</v>
      </c>
      <c r="N106" s="13">
        <v>5622</v>
      </c>
      <c r="O106" s="13">
        <v>1676</v>
      </c>
      <c r="Q106" s="3">
        <f t="shared" si="19"/>
        <v>2.9390000000000001</v>
      </c>
      <c r="R106" s="3">
        <f t="shared" si="20"/>
        <v>0.02</v>
      </c>
      <c r="S106" s="3">
        <f t="shared" si="21"/>
        <v>3.931</v>
      </c>
      <c r="T106" s="3">
        <f t="shared" si="22"/>
        <v>-1.228</v>
      </c>
      <c r="U106" s="3"/>
      <c r="V106" s="3">
        <f t="shared" si="23"/>
        <v>-0.748</v>
      </c>
      <c r="W106" s="3">
        <f t="shared" si="24"/>
        <v>-0.34200000000000003</v>
      </c>
      <c r="Y106" s="3">
        <f t="shared" si="25"/>
        <v>5.6620000000000008</v>
      </c>
      <c r="Z106" s="3">
        <f t="shared" si="26"/>
        <v>-1.0900000000000001</v>
      </c>
      <c r="AA106" s="3">
        <f t="shared" si="27"/>
        <v>4.572000000000001</v>
      </c>
      <c r="AB106" s="3"/>
      <c r="AC106" s="2" t="str">
        <f t="shared" si="28"/>
        <v>1984-10</v>
      </c>
      <c r="AD106" s="9">
        <f t="shared" si="29"/>
        <v>14.818</v>
      </c>
      <c r="AE106" s="9">
        <f t="shared" si="30"/>
        <v>-3.056</v>
      </c>
      <c r="AF106" s="9">
        <f t="shared" si="31"/>
        <v>11.762</v>
      </c>
      <c r="AG106" s="9"/>
      <c r="AH106" s="10">
        <v>30956</v>
      </c>
      <c r="AI106" s="9">
        <f t="shared" si="32"/>
        <v>9.734</v>
      </c>
      <c r="AJ106" s="9">
        <f t="shared" si="33"/>
        <v>1.226</v>
      </c>
      <c r="AK106" s="9">
        <f t="shared" si="34"/>
        <v>6.7690000000000001</v>
      </c>
      <c r="AL106" s="9">
        <f t="shared" si="35"/>
        <v>-2.9109999999999996</v>
      </c>
      <c r="AM106" s="12">
        <f t="shared" si="36"/>
        <v>2.0280000000000005</v>
      </c>
    </row>
    <row r="107" spans="1:39" x14ac:dyDescent="0.25">
      <c r="A107">
        <v>99996</v>
      </c>
      <c r="B107" t="s">
        <v>92</v>
      </c>
      <c r="C107" s="13">
        <v>30939</v>
      </c>
      <c r="D107" s="13">
        <v>1634</v>
      </c>
      <c r="E107" s="13">
        <v>3342</v>
      </c>
      <c r="F107" s="13">
        <v>4837</v>
      </c>
      <c r="G107" s="13">
        <v>6153</v>
      </c>
      <c r="H107" s="13">
        <v>1145</v>
      </c>
      <c r="J107" s="13">
        <v>28709</v>
      </c>
      <c r="K107" s="13">
        <v>1329</v>
      </c>
      <c r="L107" s="13">
        <v>1315</v>
      </c>
      <c r="M107" s="13">
        <v>4774</v>
      </c>
      <c r="N107" s="13">
        <v>6752</v>
      </c>
      <c r="O107" s="13">
        <v>1333</v>
      </c>
      <c r="Q107" s="3">
        <f t="shared" si="19"/>
        <v>2.23</v>
      </c>
      <c r="R107" s="3">
        <f t="shared" si="20"/>
        <v>0.30499999999999999</v>
      </c>
      <c r="S107" s="3">
        <f t="shared" si="21"/>
        <v>2.0270000000000001</v>
      </c>
      <c r="T107" s="3">
        <f t="shared" si="22"/>
        <v>-0.59899999999999998</v>
      </c>
      <c r="U107" s="3"/>
      <c r="V107" s="3">
        <f t="shared" si="23"/>
        <v>6.3E-2</v>
      </c>
      <c r="W107" s="3">
        <f t="shared" si="24"/>
        <v>-0.188</v>
      </c>
      <c r="Y107" s="3">
        <f t="shared" si="25"/>
        <v>3.9630000000000001</v>
      </c>
      <c r="Z107" s="3">
        <f t="shared" si="26"/>
        <v>-0.125</v>
      </c>
      <c r="AA107" s="3">
        <f t="shared" si="27"/>
        <v>3.8379999999999996</v>
      </c>
      <c r="AB107" s="3"/>
      <c r="AC107" s="2" t="str">
        <f t="shared" si="28"/>
        <v>1984-11</v>
      </c>
      <c r="AD107" s="9">
        <f t="shared" si="29"/>
        <v>19.277000000000001</v>
      </c>
      <c r="AE107" s="9">
        <f t="shared" si="30"/>
        <v>-3.2140000000000004</v>
      </c>
      <c r="AF107" s="9">
        <f t="shared" si="31"/>
        <v>16.063000000000002</v>
      </c>
      <c r="AG107" s="9"/>
      <c r="AH107" s="10">
        <v>30987</v>
      </c>
      <c r="AI107" s="9">
        <f t="shared" si="32"/>
        <v>13.366</v>
      </c>
      <c r="AJ107" s="9">
        <f t="shared" si="33"/>
        <v>1.002</v>
      </c>
      <c r="AK107" s="9">
        <f t="shared" si="34"/>
        <v>8.59</v>
      </c>
      <c r="AL107" s="9">
        <f t="shared" si="35"/>
        <v>-3.681</v>
      </c>
      <c r="AM107" s="12">
        <f t="shared" si="36"/>
        <v>2.6970000000000027</v>
      </c>
    </row>
    <row r="108" spans="1:39" x14ac:dyDescent="0.25">
      <c r="A108">
        <v>99996</v>
      </c>
      <c r="B108" t="s">
        <v>93</v>
      </c>
      <c r="C108" s="13">
        <v>31278</v>
      </c>
      <c r="D108" s="13">
        <v>1689</v>
      </c>
      <c r="E108" s="13">
        <v>4759</v>
      </c>
      <c r="F108" s="13">
        <v>4498</v>
      </c>
      <c r="G108" s="13">
        <v>4897</v>
      </c>
      <c r="H108" s="13">
        <v>1170</v>
      </c>
      <c r="J108" s="13">
        <v>23771</v>
      </c>
      <c r="K108" s="13">
        <v>1434</v>
      </c>
      <c r="L108" s="13">
        <v>1504</v>
      </c>
      <c r="M108" s="13">
        <v>5056</v>
      </c>
      <c r="N108" s="13">
        <v>6030</v>
      </c>
      <c r="O108" s="13">
        <v>1400</v>
      </c>
      <c r="Q108" s="3">
        <f t="shared" si="19"/>
        <v>7.5069999999999997</v>
      </c>
      <c r="R108" s="3">
        <f t="shared" si="20"/>
        <v>0.255</v>
      </c>
      <c r="S108" s="3">
        <f t="shared" si="21"/>
        <v>3.2549999999999999</v>
      </c>
      <c r="T108" s="3">
        <f t="shared" si="22"/>
        <v>-1.133</v>
      </c>
      <c r="U108" s="3"/>
      <c r="V108" s="3">
        <f t="shared" si="23"/>
        <v>-0.55800000000000005</v>
      </c>
      <c r="W108" s="3">
        <f t="shared" si="24"/>
        <v>-0.23</v>
      </c>
      <c r="Y108" s="3">
        <f t="shared" si="25"/>
        <v>9.8840000000000003</v>
      </c>
      <c r="Z108" s="3">
        <f t="shared" si="26"/>
        <v>-0.78800000000000003</v>
      </c>
      <c r="AA108" s="3">
        <f t="shared" si="27"/>
        <v>9.0960000000000001</v>
      </c>
      <c r="AB108" s="3"/>
      <c r="AC108" s="2" t="str">
        <f t="shared" si="28"/>
        <v>1984-12</v>
      </c>
      <c r="AD108" s="9">
        <f t="shared" si="29"/>
        <v>30.473000000000003</v>
      </c>
      <c r="AE108" s="9">
        <f t="shared" si="30"/>
        <v>-4.085</v>
      </c>
      <c r="AF108" s="9">
        <f t="shared" si="31"/>
        <v>26.388000000000002</v>
      </c>
      <c r="AG108" s="9"/>
      <c r="AH108" s="10">
        <v>31017</v>
      </c>
      <c r="AI108" s="9">
        <f t="shared" si="32"/>
        <v>21.503</v>
      </c>
      <c r="AJ108" s="9">
        <f t="shared" si="33"/>
        <v>1.177</v>
      </c>
      <c r="AK108" s="9">
        <f t="shared" si="34"/>
        <v>11.722999999999999</v>
      </c>
      <c r="AL108" s="9">
        <f t="shared" si="35"/>
        <v>-3.9299999999999997</v>
      </c>
      <c r="AM108" s="12">
        <f t="shared" si="36"/>
        <v>4.8850000000000016</v>
      </c>
    </row>
    <row r="109" spans="1:39" x14ac:dyDescent="0.25">
      <c r="A109">
        <v>99996</v>
      </c>
      <c r="B109" t="s">
        <v>94</v>
      </c>
      <c r="C109" s="13">
        <v>37261</v>
      </c>
      <c r="D109" s="13">
        <v>1945</v>
      </c>
      <c r="E109" s="13">
        <v>3959</v>
      </c>
      <c r="F109" s="13">
        <v>5040</v>
      </c>
      <c r="G109" s="13">
        <v>5244</v>
      </c>
      <c r="H109" s="13">
        <v>1234</v>
      </c>
      <c r="J109" s="13">
        <v>34853</v>
      </c>
      <c r="K109" s="13">
        <v>2027</v>
      </c>
      <c r="L109" s="13">
        <v>1062</v>
      </c>
      <c r="M109" s="13">
        <v>5763</v>
      </c>
      <c r="N109" s="13">
        <v>5075</v>
      </c>
      <c r="O109" s="13">
        <v>2024</v>
      </c>
      <c r="Q109" s="3">
        <f t="shared" si="19"/>
        <v>2.4079999999999999</v>
      </c>
      <c r="R109" s="3">
        <f t="shared" si="20"/>
        <v>-8.2000000000000003E-2</v>
      </c>
      <c r="S109" s="3">
        <f t="shared" si="21"/>
        <v>2.8969999999999998</v>
      </c>
      <c r="T109" s="3">
        <f t="shared" si="22"/>
        <v>0.16900000000000001</v>
      </c>
      <c r="U109" s="3"/>
      <c r="V109" s="3">
        <f t="shared" si="23"/>
        <v>-0.72299999999999998</v>
      </c>
      <c r="W109" s="3">
        <f t="shared" si="24"/>
        <v>-0.79</v>
      </c>
      <c r="Y109" s="3">
        <f t="shared" si="25"/>
        <v>5.3919999999999995</v>
      </c>
      <c r="Z109" s="3">
        <f t="shared" si="26"/>
        <v>-1.5129999999999999</v>
      </c>
      <c r="AA109" s="3">
        <f t="shared" si="27"/>
        <v>3.8789999999999996</v>
      </c>
      <c r="AB109" s="3"/>
      <c r="AC109" s="2" t="str">
        <f t="shared" si="28"/>
        <v>1985-01</v>
      </c>
      <c r="AD109" s="9">
        <f t="shared" si="29"/>
        <v>34.765000000000001</v>
      </c>
      <c r="AE109" s="9">
        <f t="shared" si="30"/>
        <v>-5.1050000000000004</v>
      </c>
      <c r="AF109" s="9">
        <f t="shared" si="31"/>
        <v>29.660000000000004</v>
      </c>
      <c r="AG109" s="9"/>
      <c r="AH109" s="10">
        <v>31048</v>
      </c>
      <c r="AI109" s="9">
        <f t="shared" si="32"/>
        <v>23.137999999999998</v>
      </c>
      <c r="AJ109" s="9">
        <f t="shared" si="33"/>
        <v>1.2169999999999999</v>
      </c>
      <c r="AK109" s="9">
        <f t="shared" si="34"/>
        <v>14.444000000000001</v>
      </c>
      <c r="AL109" s="9">
        <f t="shared" si="35"/>
        <v>-4.0340000000000007</v>
      </c>
      <c r="AM109" s="12">
        <f t="shared" si="36"/>
        <v>6.5220000000000056</v>
      </c>
    </row>
    <row r="110" spans="1:39" x14ac:dyDescent="0.25">
      <c r="A110">
        <v>99996</v>
      </c>
      <c r="B110" t="s">
        <v>95</v>
      </c>
      <c r="C110" s="13">
        <v>29721</v>
      </c>
      <c r="D110" s="13">
        <v>1952</v>
      </c>
      <c r="E110" s="13">
        <v>5964</v>
      </c>
      <c r="F110" s="13">
        <v>7107</v>
      </c>
      <c r="G110" s="13">
        <v>5132</v>
      </c>
      <c r="H110" s="13">
        <v>1618</v>
      </c>
      <c r="J110" s="13">
        <v>27391</v>
      </c>
      <c r="K110" s="13">
        <v>1526</v>
      </c>
      <c r="L110" s="13">
        <v>1760</v>
      </c>
      <c r="M110" s="13">
        <v>7168</v>
      </c>
      <c r="N110" s="13">
        <v>4929</v>
      </c>
      <c r="O110" s="13">
        <v>2300</v>
      </c>
      <c r="Q110" s="3">
        <f t="shared" si="19"/>
        <v>2.33</v>
      </c>
      <c r="R110" s="3">
        <f t="shared" si="20"/>
        <v>0.42599999999999999</v>
      </c>
      <c r="S110" s="3">
        <f t="shared" si="21"/>
        <v>4.2039999999999997</v>
      </c>
      <c r="T110" s="3">
        <f t="shared" si="22"/>
        <v>0.20300000000000001</v>
      </c>
      <c r="U110" s="3"/>
      <c r="V110" s="3">
        <f t="shared" si="23"/>
        <v>-6.0999999999999999E-2</v>
      </c>
      <c r="W110" s="3">
        <f t="shared" si="24"/>
        <v>-0.68200000000000005</v>
      </c>
      <c r="Y110" s="3">
        <f t="shared" si="25"/>
        <v>7.1630000000000003</v>
      </c>
      <c r="Z110" s="3">
        <f t="shared" si="26"/>
        <v>-0.7430000000000001</v>
      </c>
      <c r="AA110" s="3">
        <f t="shared" si="27"/>
        <v>6.42</v>
      </c>
      <c r="AB110" s="3"/>
      <c r="AC110" s="2" t="str">
        <f t="shared" si="28"/>
        <v>1985-02</v>
      </c>
      <c r="AD110" s="9">
        <f t="shared" si="29"/>
        <v>41.302999999999997</v>
      </c>
      <c r="AE110" s="9">
        <f t="shared" si="30"/>
        <v>-6.6040000000000001</v>
      </c>
      <c r="AF110" s="9">
        <f t="shared" si="31"/>
        <v>34.698999999999998</v>
      </c>
      <c r="AG110" s="9"/>
      <c r="AH110" s="10">
        <v>31079</v>
      </c>
      <c r="AI110" s="9">
        <f t="shared" si="32"/>
        <v>24.911999999999999</v>
      </c>
      <c r="AJ110" s="9">
        <f t="shared" si="33"/>
        <v>1.4240000000000002</v>
      </c>
      <c r="AK110" s="9">
        <f t="shared" si="34"/>
        <v>18.796999999999997</v>
      </c>
      <c r="AL110" s="9">
        <f t="shared" si="35"/>
        <v>-3.8300000000000005</v>
      </c>
      <c r="AM110" s="12">
        <f t="shared" si="36"/>
        <v>9.786999999999999</v>
      </c>
    </row>
    <row r="111" spans="1:39" x14ac:dyDescent="0.25">
      <c r="A111">
        <v>99996</v>
      </c>
      <c r="B111" t="s">
        <v>96</v>
      </c>
      <c r="C111" s="13">
        <v>20954</v>
      </c>
      <c r="D111" s="13">
        <v>1344</v>
      </c>
      <c r="E111" s="13">
        <v>4143</v>
      </c>
      <c r="F111" s="13">
        <v>6340</v>
      </c>
      <c r="G111" s="13">
        <v>4507</v>
      </c>
      <c r="H111" s="13">
        <v>1396</v>
      </c>
      <c r="J111" s="13">
        <v>25343</v>
      </c>
      <c r="K111" s="13">
        <v>1365</v>
      </c>
      <c r="L111" s="13">
        <v>1221</v>
      </c>
      <c r="M111" s="13">
        <v>6768</v>
      </c>
      <c r="N111" s="13">
        <v>5506</v>
      </c>
      <c r="O111" s="13">
        <v>1858</v>
      </c>
      <c r="Q111" s="3">
        <f t="shared" si="19"/>
        <v>-4.3890000000000002</v>
      </c>
      <c r="R111" s="3">
        <f t="shared" si="20"/>
        <v>-2.1000000000000001E-2</v>
      </c>
      <c r="S111" s="3">
        <f t="shared" si="21"/>
        <v>2.9220000000000002</v>
      </c>
      <c r="T111" s="3">
        <f t="shared" si="22"/>
        <v>-0.999</v>
      </c>
      <c r="U111" s="3"/>
      <c r="V111" s="3">
        <f t="shared" si="23"/>
        <v>-0.42799999999999999</v>
      </c>
      <c r="W111" s="3">
        <f t="shared" si="24"/>
        <v>-0.46200000000000002</v>
      </c>
      <c r="Y111" s="3">
        <f t="shared" si="25"/>
        <v>-2.4870000000000001</v>
      </c>
      <c r="Z111" s="3">
        <f t="shared" si="26"/>
        <v>-0.89</v>
      </c>
      <c r="AA111" s="3">
        <f t="shared" si="27"/>
        <v>-3.3770000000000002</v>
      </c>
      <c r="AB111" s="3"/>
      <c r="AC111" s="2" t="str">
        <f t="shared" si="28"/>
        <v>1985-03</v>
      </c>
      <c r="AD111" s="9">
        <f t="shared" si="29"/>
        <v>39.023000000000003</v>
      </c>
      <c r="AE111" s="9">
        <f t="shared" si="30"/>
        <v>-8.0579999999999998</v>
      </c>
      <c r="AF111" s="9">
        <f t="shared" si="31"/>
        <v>30.965</v>
      </c>
      <c r="AG111" s="9"/>
      <c r="AH111" s="10">
        <v>31107</v>
      </c>
      <c r="AI111" s="9">
        <f t="shared" si="32"/>
        <v>21.049000000000003</v>
      </c>
      <c r="AJ111" s="9">
        <f t="shared" si="33"/>
        <v>1.5539999999999998</v>
      </c>
      <c r="AK111" s="9">
        <f t="shared" si="34"/>
        <v>21.263000000000002</v>
      </c>
      <c r="AL111" s="9">
        <f t="shared" si="35"/>
        <v>-4.8430000000000009</v>
      </c>
      <c r="AM111" s="12">
        <f t="shared" si="36"/>
        <v>9.9159999999999968</v>
      </c>
    </row>
    <row r="112" spans="1:39" x14ac:dyDescent="0.25">
      <c r="A112">
        <v>99996</v>
      </c>
      <c r="B112" t="s">
        <v>97</v>
      </c>
      <c r="C112" s="13">
        <v>39922</v>
      </c>
      <c r="D112" s="13">
        <v>1461</v>
      </c>
      <c r="E112" s="13">
        <v>2959</v>
      </c>
      <c r="F112" s="13">
        <v>5132</v>
      </c>
      <c r="G112" s="13">
        <v>5170</v>
      </c>
      <c r="H112" s="13">
        <v>1446</v>
      </c>
      <c r="J112" s="13">
        <v>35610</v>
      </c>
      <c r="K112" s="13">
        <v>1289</v>
      </c>
      <c r="L112" s="13">
        <v>1731</v>
      </c>
      <c r="M112" s="13">
        <v>4997</v>
      </c>
      <c r="N112" s="13">
        <v>5865</v>
      </c>
      <c r="O112" s="13">
        <v>1592</v>
      </c>
      <c r="Q112" s="3">
        <f t="shared" si="19"/>
        <v>4.3120000000000003</v>
      </c>
      <c r="R112" s="3">
        <f t="shared" si="20"/>
        <v>0.17199999999999999</v>
      </c>
      <c r="S112" s="3">
        <f t="shared" si="21"/>
        <v>1.228</v>
      </c>
      <c r="T112" s="3">
        <f t="shared" si="22"/>
        <v>-0.69499999999999995</v>
      </c>
      <c r="U112" s="3"/>
      <c r="V112" s="3">
        <f t="shared" si="23"/>
        <v>0.13500000000000001</v>
      </c>
      <c r="W112" s="3">
        <f t="shared" si="24"/>
        <v>-0.14599999999999999</v>
      </c>
      <c r="Y112" s="3">
        <f t="shared" si="25"/>
        <v>5.0169999999999995</v>
      </c>
      <c r="Z112" s="3">
        <f t="shared" si="26"/>
        <v>-1.0999999999999982E-2</v>
      </c>
      <c r="AA112" s="3">
        <f t="shared" si="27"/>
        <v>5.0059999999999993</v>
      </c>
      <c r="AB112" s="3"/>
      <c r="AC112" s="2" t="str">
        <f t="shared" si="28"/>
        <v>1985-04</v>
      </c>
      <c r="AD112" s="9">
        <f t="shared" si="29"/>
        <v>42.165999999999997</v>
      </c>
      <c r="AE112" s="9">
        <f t="shared" si="30"/>
        <v>-8.3580000000000005</v>
      </c>
      <c r="AF112" s="9">
        <f t="shared" si="31"/>
        <v>33.808</v>
      </c>
      <c r="AG112" s="9"/>
      <c r="AH112" s="10">
        <v>31138</v>
      </c>
      <c r="AI112" s="9">
        <f t="shared" si="32"/>
        <v>23.057000000000002</v>
      </c>
      <c r="AJ112" s="9">
        <f t="shared" si="33"/>
        <v>1.7899999999999998</v>
      </c>
      <c r="AK112" s="9">
        <f t="shared" si="34"/>
        <v>22.565999999999999</v>
      </c>
      <c r="AL112" s="9">
        <f t="shared" si="35"/>
        <v>-5.2469999999999999</v>
      </c>
      <c r="AM112" s="12">
        <f t="shared" si="36"/>
        <v>10.750999999999998</v>
      </c>
    </row>
    <row r="113" spans="1:39" x14ac:dyDescent="0.25">
      <c r="A113">
        <v>99996</v>
      </c>
      <c r="B113" t="s">
        <v>98</v>
      </c>
      <c r="C113" s="13">
        <v>45229</v>
      </c>
      <c r="D113" s="13">
        <v>2128</v>
      </c>
      <c r="E113" s="13">
        <v>4603</v>
      </c>
      <c r="F113" s="13">
        <v>6517</v>
      </c>
      <c r="G113" s="13">
        <v>7472</v>
      </c>
      <c r="H113" s="13">
        <v>1767</v>
      </c>
      <c r="J113" s="13">
        <v>41984</v>
      </c>
      <c r="K113" s="13">
        <v>1693</v>
      </c>
      <c r="L113" s="13">
        <v>1937</v>
      </c>
      <c r="M113" s="13">
        <v>6419</v>
      </c>
      <c r="N113" s="13">
        <v>8522</v>
      </c>
      <c r="O113" s="13">
        <v>1670</v>
      </c>
      <c r="Q113" s="3">
        <f t="shared" si="19"/>
        <v>3.2450000000000001</v>
      </c>
      <c r="R113" s="3">
        <f t="shared" si="20"/>
        <v>0.435</v>
      </c>
      <c r="S113" s="3">
        <f t="shared" si="21"/>
        <v>2.6659999999999999</v>
      </c>
      <c r="T113" s="3">
        <f t="shared" si="22"/>
        <v>-1.05</v>
      </c>
      <c r="U113" s="3"/>
      <c r="V113" s="3">
        <f t="shared" si="23"/>
        <v>9.8000000000000004E-2</v>
      </c>
      <c r="W113" s="3">
        <f t="shared" si="24"/>
        <v>9.7000000000000003E-2</v>
      </c>
      <c r="Y113" s="3">
        <f t="shared" si="25"/>
        <v>5.2960000000000003</v>
      </c>
      <c r="Z113" s="3">
        <f t="shared" si="26"/>
        <v>0.19500000000000001</v>
      </c>
      <c r="AA113" s="3">
        <f t="shared" si="27"/>
        <v>5.4910000000000005</v>
      </c>
      <c r="AB113" s="3"/>
      <c r="AC113" s="2" t="str">
        <f t="shared" si="28"/>
        <v>1985-05</v>
      </c>
      <c r="AD113" s="9">
        <f t="shared" si="29"/>
        <v>46.559000000000005</v>
      </c>
      <c r="AE113" s="9">
        <f t="shared" si="30"/>
        <v>-7.6790000000000003</v>
      </c>
      <c r="AF113" s="9">
        <f t="shared" si="31"/>
        <v>38.879999999999995</v>
      </c>
      <c r="AG113" s="9"/>
      <c r="AH113" s="10">
        <v>31168</v>
      </c>
      <c r="AI113" s="9">
        <f t="shared" si="32"/>
        <v>24.866000000000003</v>
      </c>
      <c r="AJ113" s="9">
        <f t="shared" si="33"/>
        <v>2.1209999999999996</v>
      </c>
      <c r="AK113" s="9">
        <f t="shared" si="34"/>
        <v>25.178000000000001</v>
      </c>
      <c r="AL113" s="9">
        <f t="shared" si="35"/>
        <v>-5.6059999999999999</v>
      </c>
      <c r="AM113" s="12">
        <f t="shared" si="36"/>
        <v>14.013999999999992</v>
      </c>
    </row>
    <row r="114" spans="1:39" x14ac:dyDescent="0.25">
      <c r="A114">
        <v>99996</v>
      </c>
      <c r="B114" t="s">
        <v>99</v>
      </c>
      <c r="C114" s="13">
        <v>36951</v>
      </c>
      <c r="D114" s="13">
        <v>1703</v>
      </c>
      <c r="E114" s="13">
        <v>3580</v>
      </c>
      <c r="F114" s="13">
        <v>6479</v>
      </c>
      <c r="G114" s="13">
        <v>6726</v>
      </c>
      <c r="H114" s="13">
        <v>1638</v>
      </c>
      <c r="J114" s="13">
        <v>31237</v>
      </c>
      <c r="K114" s="13">
        <v>1535</v>
      </c>
      <c r="L114" s="13">
        <v>2354</v>
      </c>
      <c r="M114" s="13">
        <v>6060</v>
      </c>
      <c r="N114" s="13">
        <v>7096</v>
      </c>
      <c r="O114" s="13">
        <v>1808</v>
      </c>
      <c r="Q114" s="3">
        <f t="shared" si="19"/>
        <v>5.7140000000000004</v>
      </c>
      <c r="R114" s="3">
        <f t="shared" si="20"/>
        <v>0.16800000000000001</v>
      </c>
      <c r="S114" s="3">
        <f t="shared" si="21"/>
        <v>1.226</v>
      </c>
      <c r="T114" s="3">
        <f t="shared" si="22"/>
        <v>-0.37</v>
      </c>
      <c r="U114" s="3"/>
      <c r="V114" s="3">
        <f t="shared" si="23"/>
        <v>0.41899999999999998</v>
      </c>
      <c r="W114" s="3">
        <f t="shared" si="24"/>
        <v>-0.17</v>
      </c>
      <c r="Y114" s="3">
        <f t="shared" si="25"/>
        <v>6.7380000000000004</v>
      </c>
      <c r="Z114" s="3">
        <f t="shared" si="26"/>
        <v>0.24899999999999997</v>
      </c>
      <c r="AA114" s="3">
        <f t="shared" si="27"/>
        <v>6.9870000000000001</v>
      </c>
      <c r="AB114" s="3"/>
      <c r="AC114" s="2" t="str">
        <f t="shared" si="28"/>
        <v>1985-06</v>
      </c>
      <c r="AD114" s="9">
        <f t="shared" si="29"/>
        <v>53.247999999999998</v>
      </c>
      <c r="AE114" s="9">
        <f t="shared" si="30"/>
        <v>-7.0380000000000003</v>
      </c>
      <c r="AF114" s="9">
        <f t="shared" si="31"/>
        <v>46.21</v>
      </c>
      <c r="AG114" s="9"/>
      <c r="AH114" s="10">
        <v>31199</v>
      </c>
      <c r="AI114" s="9">
        <f t="shared" si="32"/>
        <v>30.905000000000008</v>
      </c>
      <c r="AJ114" s="9">
        <f t="shared" si="33"/>
        <v>2.1460000000000004</v>
      </c>
      <c r="AK114" s="9">
        <f t="shared" si="34"/>
        <v>26.343</v>
      </c>
      <c r="AL114" s="9">
        <f t="shared" si="35"/>
        <v>-6.1459999999999999</v>
      </c>
      <c r="AM114" s="12">
        <f t="shared" si="36"/>
        <v>15.304999999999993</v>
      </c>
    </row>
    <row r="115" spans="1:39" x14ac:dyDescent="0.25">
      <c r="A115">
        <v>99996</v>
      </c>
      <c r="B115" t="s">
        <v>100</v>
      </c>
      <c r="C115" s="13">
        <v>50277</v>
      </c>
      <c r="D115" s="13">
        <v>3029</v>
      </c>
      <c r="E115" s="13">
        <v>5439</v>
      </c>
      <c r="F115" s="13">
        <v>7207</v>
      </c>
      <c r="G115" s="13">
        <v>7203</v>
      </c>
      <c r="H115" s="13">
        <v>1590</v>
      </c>
      <c r="J115" s="13">
        <v>45457</v>
      </c>
      <c r="K115" s="13">
        <v>2122</v>
      </c>
      <c r="L115" s="13">
        <v>2110</v>
      </c>
      <c r="M115" s="13">
        <v>6559</v>
      </c>
      <c r="N115" s="13">
        <v>7750</v>
      </c>
      <c r="O115" s="13">
        <v>2180</v>
      </c>
      <c r="Q115" s="3">
        <f t="shared" si="19"/>
        <v>4.82</v>
      </c>
      <c r="R115" s="3">
        <f t="shared" si="20"/>
        <v>0.90700000000000003</v>
      </c>
      <c r="S115" s="3">
        <f t="shared" si="21"/>
        <v>3.3290000000000002</v>
      </c>
      <c r="T115" s="3">
        <f t="shared" si="22"/>
        <v>-0.54700000000000004</v>
      </c>
      <c r="U115" s="3"/>
      <c r="V115" s="3">
        <f t="shared" si="23"/>
        <v>0.64800000000000002</v>
      </c>
      <c r="W115" s="3">
        <f t="shared" si="24"/>
        <v>-0.59</v>
      </c>
      <c r="Y115" s="3">
        <f t="shared" si="25"/>
        <v>8.5090000000000003</v>
      </c>
      <c r="Z115" s="3">
        <f t="shared" si="26"/>
        <v>5.8000000000000052E-2</v>
      </c>
      <c r="AA115" s="3">
        <f t="shared" si="27"/>
        <v>8.5670000000000002</v>
      </c>
      <c r="AB115" s="3"/>
      <c r="AC115" s="2" t="str">
        <f t="shared" si="28"/>
        <v>1985-07</v>
      </c>
      <c r="AD115" s="9">
        <f t="shared" si="29"/>
        <v>59.324000000000005</v>
      </c>
      <c r="AE115" s="9">
        <f t="shared" si="30"/>
        <v>-6.4640000000000004</v>
      </c>
      <c r="AF115" s="9">
        <f t="shared" si="31"/>
        <v>52.860000000000007</v>
      </c>
      <c r="AG115" s="9"/>
      <c r="AH115" s="10">
        <v>31229</v>
      </c>
      <c r="AI115" s="9">
        <f t="shared" si="32"/>
        <v>33.973000000000006</v>
      </c>
      <c r="AJ115" s="9">
        <f t="shared" si="33"/>
        <v>2.7910000000000004</v>
      </c>
      <c r="AK115" s="9">
        <f t="shared" si="34"/>
        <v>29.423000000000002</v>
      </c>
      <c r="AL115" s="9">
        <f t="shared" si="35"/>
        <v>-6.8629999999999995</v>
      </c>
      <c r="AM115" s="12">
        <f t="shared" si="36"/>
        <v>18.887</v>
      </c>
    </row>
    <row r="116" spans="1:39" x14ac:dyDescent="0.25">
      <c r="A116">
        <v>99996</v>
      </c>
      <c r="B116" t="s">
        <v>101</v>
      </c>
      <c r="C116" s="13">
        <v>40360</v>
      </c>
      <c r="D116" s="13">
        <v>1995</v>
      </c>
      <c r="E116" s="13">
        <v>3514</v>
      </c>
      <c r="F116" s="13">
        <v>6371</v>
      </c>
      <c r="G116" s="13">
        <v>6959</v>
      </c>
      <c r="H116" s="13">
        <v>1689</v>
      </c>
      <c r="J116" s="13">
        <v>43722</v>
      </c>
      <c r="K116" s="13">
        <v>2006</v>
      </c>
      <c r="L116" s="13">
        <v>1709</v>
      </c>
      <c r="M116" s="13">
        <v>5721</v>
      </c>
      <c r="N116" s="13">
        <v>6649</v>
      </c>
      <c r="O116" s="13">
        <v>1910</v>
      </c>
      <c r="Q116" s="3">
        <f t="shared" si="19"/>
        <v>-3.3620000000000001</v>
      </c>
      <c r="R116" s="3">
        <f t="shared" si="20"/>
        <v>-1.0999999999999999E-2</v>
      </c>
      <c r="S116" s="3">
        <f t="shared" si="21"/>
        <v>1.8049999999999999</v>
      </c>
      <c r="T116" s="3">
        <f t="shared" si="22"/>
        <v>0.31</v>
      </c>
      <c r="U116" s="3"/>
      <c r="V116" s="3">
        <f t="shared" si="23"/>
        <v>0.65</v>
      </c>
      <c r="W116" s="3">
        <f t="shared" si="24"/>
        <v>-0.221</v>
      </c>
      <c r="Y116" s="3">
        <f t="shared" si="25"/>
        <v>-1.2580000000000002</v>
      </c>
      <c r="Z116" s="3">
        <f t="shared" si="26"/>
        <v>0.42900000000000005</v>
      </c>
      <c r="AA116" s="3">
        <f t="shared" si="27"/>
        <v>-0.82900000000000018</v>
      </c>
      <c r="AB116" s="3"/>
      <c r="AC116" s="2" t="str">
        <f t="shared" si="28"/>
        <v>1985-08</v>
      </c>
      <c r="AD116" s="9">
        <f t="shared" si="29"/>
        <v>50.893000000000001</v>
      </c>
      <c r="AE116" s="9">
        <f t="shared" si="30"/>
        <v>-5.4249999999999998</v>
      </c>
      <c r="AF116" s="9">
        <f t="shared" si="31"/>
        <v>45.467999999999996</v>
      </c>
      <c r="AG116" s="9"/>
      <c r="AH116" s="10">
        <v>31260</v>
      </c>
      <c r="AI116" s="9">
        <f t="shared" si="32"/>
        <v>23.951999999999998</v>
      </c>
      <c r="AJ116" s="9">
        <f t="shared" si="33"/>
        <v>2.7320000000000002</v>
      </c>
      <c r="AK116" s="9">
        <f t="shared" si="34"/>
        <v>30.624000000000002</v>
      </c>
      <c r="AL116" s="9">
        <f t="shared" si="35"/>
        <v>-6.415</v>
      </c>
      <c r="AM116" s="12">
        <f t="shared" si="36"/>
        <v>21.515999999999998</v>
      </c>
    </row>
    <row r="117" spans="1:39" x14ac:dyDescent="0.25">
      <c r="A117">
        <v>99996</v>
      </c>
      <c r="B117" t="s">
        <v>102</v>
      </c>
      <c r="C117" s="13">
        <v>43202</v>
      </c>
      <c r="D117" s="13">
        <v>2450</v>
      </c>
      <c r="E117" s="13">
        <v>4973</v>
      </c>
      <c r="F117" s="13">
        <v>4803</v>
      </c>
      <c r="G117" s="13">
        <v>6835</v>
      </c>
      <c r="H117" s="13">
        <v>1564</v>
      </c>
      <c r="J117" s="13">
        <v>36656</v>
      </c>
      <c r="K117" s="13">
        <v>2072</v>
      </c>
      <c r="L117" s="13">
        <v>1515</v>
      </c>
      <c r="M117" s="13">
        <v>4692</v>
      </c>
      <c r="N117" s="13">
        <v>7250</v>
      </c>
      <c r="O117" s="13">
        <v>1782</v>
      </c>
      <c r="Q117" s="3">
        <f t="shared" si="19"/>
        <v>6.5460000000000003</v>
      </c>
      <c r="R117" s="3">
        <f t="shared" si="20"/>
        <v>0.378</v>
      </c>
      <c r="S117" s="3">
        <f t="shared" si="21"/>
        <v>3.4580000000000002</v>
      </c>
      <c r="T117" s="3">
        <f t="shared" si="22"/>
        <v>-0.41499999999999998</v>
      </c>
      <c r="U117" s="3"/>
      <c r="V117" s="3">
        <f t="shared" si="23"/>
        <v>0.111</v>
      </c>
      <c r="W117" s="3">
        <f t="shared" si="24"/>
        <v>-0.218</v>
      </c>
      <c r="Y117" s="3">
        <f t="shared" si="25"/>
        <v>9.9670000000000023</v>
      </c>
      <c r="Z117" s="3">
        <f t="shared" si="26"/>
        <v>-0.107</v>
      </c>
      <c r="AA117" s="3">
        <f t="shared" si="27"/>
        <v>9.860000000000003</v>
      </c>
      <c r="AB117" s="3"/>
      <c r="AC117" s="2" t="str">
        <f t="shared" si="28"/>
        <v>1985-09</v>
      </c>
      <c r="AD117" s="9">
        <f t="shared" si="29"/>
        <v>63.845999999999989</v>
      </c>
      <c r="AE117" s="9">
        <f t="shared" si="30"/>
        <v>-4.3360000000000003</v>
      </c>
      <c r="AF117" s="9">
        <f t="shared" si="31"/>
        <v>59.510000000000005</v>
      </c>
      <c r="AG117" s="9"/>
      <c r="AH117" s="10">
        <v>31291</v>
      </c>
      <c r="AI117" s="9">
        <f t="shared" si="32"/>
        <v>34.300000000000004</v>
      </c>
      <c r="AJ117" s="9">
        <f t="shared" si="33"/>
        <v>2.952</v>
      </c>
      <c r="AK117" s="9">
        <f t="shared" si="34"/>
        <v>32.948</v>
      </c>
      <c r="AL117" s="9">
        <f t="shared" si="35"/>
        <v>-6.3540000000000001</v>
      </c>
      <c r="AM117" s="12">
        <f t="shared" si="36"/>
        <v>25.21</v>
      </c>
    </row>
    <row r="118" spans="1:39" x14ac:dyDescent="0.25">
      <c r="A118">
        <v>99996</v>
      </c>
      <c r="B118" t="s">
        <v>103</v>
      </c>
      <c r="C118" s="13">
        <v>36340</v>
      </c>
      <c r="D118" s="13">
        <v>2137</v>
      </c>
      <c r="E118" s="13">
        <v>5213</v>
      </c>
      <c r="F118" s="13">
        <v>7406</v>
      </c>
      <c r="G118" s="13">
        <v>8535</v>
      </c>
      <c r="H118" s="13">
        <v>2012</v>
      </c>
      <c r="J118" s="13">
        <v>36725</v>
      </c>
      <c r="K118" s="13">
        <v>1274</v>
      </c>
      <c r="L118" s="13">
        <v>1449</v>
      </c>
      <c r="M118" s="13">
        <v>6741</v>
      </c>
      <c r="N118" s="13">
        <v>9299</v>
      </c>
      <c r="O118" s="13">
        <v>2052</v>
      </c>
      <c r="Q118" s="3">
        <f t="shared" si="19"/>
        <v>-0.38500000000000001</v>
      </c>
      <c r="R118" s="3">
        <f t="shared" si="20"/>
        <v>0.86299999999999999</v>
      </c>
      <c r="S118" s="3">
        <f t="shared" si="21"/>
        <v>3.7639999999999998</v>
      </c>
      <c r="T118" s="3">
        <f t="shared" si="22"/>
        <v>-0.76400000000000001</v>
      </c>
      <c r="U118" s="3"/>
      <c r="V118" s="3">
        <f t="shared" si="23"/>
        <v>0.66500000000000004</v>
      </c>
      <c r="W118" s="3">
        <f t="shared" si="24"/>
        <v>-0.04</v>
      </c>
      <c r="Y118" s="3">
        <f t="shared" si="25"/>
        <v>3.4779999999999998</v>
      </c>
      <c r="Z118" s="3">
        <f t="shared" si="26"/>
        <v>0.625</v>
      </c>
      <c r="AA118" s="3">
        <f t="shared" si="27"/>
        <v>4.1029999999999998</v>
      </c>
      <c r="AB118" s="3"/>
      <c r="AC118" s="2" t="str">
        <f t="shared" si="28"/>
        <v>1985-10</v>
      </c>
      <c r="AD118" s="9">
        <f t="shared" si="29"/>
        <v>61.661999999999999</v>
      </c>
      <c r="AE118" s="9">
        <f t="shared" si="30"/>
        <v>-2.6210000000000004</v>
      </c>
      <c r="AF118" s="9">
        <f t="shared" si="31"/>
        <v>59.041000000000004</v>
      </c>
      <c r="AG118" s="9"/>
      <c r="AH118" s="10">
        <v>31321</v>
      </c>
      <c r="AI118" s="9">
        <f t="shared" si="32"/>
        <v>30.975999999999996</v>
      </c>
      <c r="AJ118" s="9">
        <f t="shared" si="33"/>
        <v>3.7949999999999999</v>
      </c>
      <c r="AK118" s="9">
        <f t="shared" si="34"/>
        <v>32.781000000000006</v>
      </c>
      <c r="AL118" s="9">
        <f t="shared" si="35"/>
        <v>-5.8900000000000006</v>
      </c>
      <c r="AM118" s="12">
        <f t="shared" si="36"/>
        <v>28.065000000000008</v>
      </c>
    </row>
    <row r="119" spans="1:39" x14ac:dyDescent="0.25">
      <c r="A119">
        <v>99996</v>
      </c>
      <c r="B119" t="s">
        <v>104</v>
      </c>
      <c r="C119" s="13">
        <v>53554</v>
      </c>
      <c r="D119" s="13">
        <v>2591</v>
      </c>
      <c r="E119" s="13">
        <v>9817</v>
      </c>
      <c r="F119" s="13">
        <v>8414</v>
      </c>
      <c r="G119" s="13">
        <v>8997</v>
      </c>
      <c r="H119" s="13">
        <v>2160</v>
      </c>
      <c r="J119" s="13">
        <v>52386</v>
      </c>
      <c r="K119" s="13">
        <v>1781</v>
      </c>
      <c r="L119" s="13">
        <v>2439</v>
      </c>
      <c r="M119" s="13">
        <v>7143</v>
      </c>
      <c r="N119" s="13">
        <v>8725</v>
      </c>
      <c r="O119" s="13">
        <v>2463</v>
      </c>
      <c r="Q119" s="3">
        <f t="shared" si="19"/>
        <v>1.1679999999999999</v>
      </c>
      <c r="R119" s="3">
        <f t="shared" si="20"/>
        <v>0.81</v>
      </c>
      <c r="S119" s="3">
        <f t="shared" si="21"/>
        <v>7.3780000000000001</v>
      </c>
      <c r="T119" s="3">
        <f t="shared" si="22"/>
        <v>0.27200000000000002</v>
      </c>
      <c r="U119" s="3"/>
      <c r="V119" s="3">
        <f t="shared" si="23"/>
        <v>1.2709999999999999</v>
      </c>
      <c r="W119" s="3">
        <f t="shared" si="24"/>
        <v>-0.30299999999999999</v>
      </c>
      <c r="Y119" s="3">
        <f t="shared" si="25"/>
        <v>9.6280000000000001</v>
      </c>
      <c r="Z119" s="3">
        <f t="shared" si="26"/>
        <v>0.96799999999999997</v>
      </c>
      <c r="AA119" s="3">
        <f t="shared" si="27"/>
        <v>10.596</v>
      </c>
      <c r="AB119" s="3"/>
      <c r="AC119" s="2" t="str">
        <f t="shared" si="28"/>
        <v>1985-11</v>
      </c>
      <c r="AD119" s="9">
        <f t="shared" si="29"/>
        <v>67.326999999999998</v>
      </c>
      <c r="AE119" s="9">
        <f t="shared" si="30"/>
        <v>-1.5280000000000005</v>
      </c>
      <c r="AF119" s="9">
        <f t="shared" si="31"/>
        <v>65.799000000000007</v>
      </c>
      <c r="AG119" s="9"/>
      <c r="AH119" s="10">
        <v>31352</v>
      </c>
      <c r="AI119" s="9">
        <f t="shared" si="32"/>
        <v>29.913999999999998</v>
      </c>
      <c r="AJ119" s="9">
        <f t="shared" si="33"/>
        <v>4.3</v>
      </c>
      <c r="AK119" s="9">
        <f t="shared" si="34"/>
        <v>38.131999999999991</v>
      </c>
      <c r="AL119" s="9">
        <f t="shared" si="35"/>
        <v>-5.0190000000000001</v>
      </c>
      <c r="AM119" s="12">
        <f t="shared" si="36"/>
        <v>35.885000000000005</v>
      </c>
    </row>
    <row r="120" spans="1:39" x14ac:dyDescent="0.25">
      <c r="A120">
        <v>99996</v>
      </c>
      <c r="B120" t="s">
        <v>105</v>
      </c>
      <c r="C120" s="13">
        <v>64816</v>
      </c>
      <c r="D120" s="13">
        <v>2226</v>
      </c>
      <c r="E120" s="13">
        <v>7464</v>
      </c>
      <c r="F120" s="13">
        <v>11179</v>
      </c>
      <c r="G120" s="13">
        <v>8437</v>
      </c>
      <c r="H120" s="13">
        <v>2746</v>
      </c>
      <c r="J120" s="13">
        <v>58014</v>
      </c>
      <c r="K120" s="13">
        <v>1930</v>
      </c>
      <c r="L120" s="13">
        <v>2548</v>
      </c>
      <c r="M120" s="13">
        <v>9024</v>
      </c>
      <c r="N120" s="13">
        <v>8546</v>
      </c>
      <c r="O120" s="13">
        <v>3164</v>
      </c>
      <c r="Q120" s="3">
        <f t="shared" si="19"/>
        <v>6.8019999999999996</v>
      </c>
      <c r="R120" s="3">
        <f t="shared" si="20"/>
        <v>0.29599999999999999</v>
      </c>
      <c r="S120" s="3">
        <f t="shared" si="21"/>
        <v>4.9160000000000004</v>
      </c>
      <c r="T120" s="3">
        <f t="shared" si="22"/>
        <v>-0.109</v>
      </c>
      <c r="U120" s="3"/>
      <c r="V120" s="3">
        <f t="shared" si="23"/>
        <v>2.1549999999999998</v>
      </c>
      <c r="W120" s="3">
        <f t="shared" si="24"/>
        <v>-0.41799999999999998</v>
      </c>
      <c r="Y120" s="3">
        <f t="shared" si="25"/>
        <v>11.904999999999999</v>
      </c>
      <c r="Z120" s="3">
        <f t="shared" si="26"/>
        <v>1.7369999999999999</v>
      </c>
      <c r="AA120" s="3">
        <f t="shared" si="27"/>
        <v>13.641999999999999</v>
      </c>
      <c r="AB120" s="3"/>
      <c r="AC120" s="2" t="str">
        <f t="shared" si="28"/>
        <v>1985-12</v>
      </c>
      <c r="AD120" s="9">
        <f t="shared" si="29"/>
        <v>69.347999999999999</v>
      </c>
      <c r="AE120" s="9">
        <f t="shared" si="30"/>
        <v>0.99699999999999966</v>
      </c>
      <c r="AF120" s="9">
        <f t="shared" si="31"/>
        <v>70.344999999999999</v>
      </c>
      <c r="AG120" s="9"/>
      <c r="AH120" s="10">
        <v>31382</v>
      </c>
      <c r="AI120" s="9">
        <f t="shared" si="32"/>
        <v>29.209</v>
      </c>
      <c r="AJ120" s="9">
        <f t="shared" si="33"/>
        <v>4.3410000000000002</v>
      </c>
      <c r="AK120" s="9">
        <f t="shared" si="34"/>
        <v>39.792999999999992</v>
      </c>
      <c r="AL120" s="9">
        <f t="shared" si="35"/>
        <v>-3.9950000000000001</v>
      </c>
      <c r="AM120" s="12">
        <f t="shared" si="36"/>
        <v>41.135999999999996</v>
      </c>
    </row>
    <row r="121" spans="1:39" x14ac:dyDescent="0.25">
      <c r="A121">
        <v>99996</v>
      </c>
      <c r="B121" t="s">
        <v>106</v>
      </c>
      <c r="C121" s="13">
        <v>77289</v>
      </c>
      <c r="D121" s="13">
        <v>1318</v>
      </c>
      <c r="E121" s="13">
        <v>5652</v>
      </c>
      <c r="F121" s="13">
        <v>9377</v>
      </c>
      <c r="G121" s="13">
        <v>9979</v>
      </c>
      <c r="H121" s="13">
        <v>2504</v>
      </c>
      <c r="J121" s="13">
        <v>80776</v>
      </c>
      <c r="K121" s="13">
        <v>1361</v>
      </c>
      <c r="L121" s="13">
        <v>2402</v>
      </c>
      <c r="M121" s="13">
        <v>7597</v>
      </c>
      <c r="N121" s="13">
        <v>10028</v>
      </c>
      <c r="O121" s="13">
        <v>2408</v>
      </c>
      <c r="Q121" s="3">
        <f t="shared" si="19"/>
        <v>-3.4870000000000001</v>
      </c>
      <c r="R121" s="3">
        <f t="shared" si="20"/>
        <v>-4.2999999999999997E-2</v>
      </c>
      <c r="S121" s="3">
        <f t="shared" si="21"/>
        <v>3.25</v>
      </c>
      <c r="T121" s="3">
        <f t="shared" si="22"/>
        <v>-4.9000000000000002E-2</v>
      </c>
      <c r="U121" s="3"/>
      <c r="V121" s="3">
        <f t="shared" si="23"/>
        <v>1.78</v>
      </c>
      <c r="W121" s="3">
        <f t="shared" si="24"/>
        <v>9.6000000000000002E-2</v>
      </c>
      <c r="Y121" s="3">
        <f t="shared" si="25"/>
        <v>-0.32900000000000024</v>
      </c>
      <c r="Z121" s="3">
        <f t="shared" si="26"/>
        <v>1.8760000000000001</v>
      </c>
      <c r="AA121" s="3">
        <f t="shared" si="27"/>
        <v>1.5469999999999999</v>
      </c>
      <c r="AB121" s="3"/>
      <c r="AC121" s="2" t="str">
        <f t="shared" si="28"/>
        <v>1986-01</v>
      </c>
      <c r="AD121" s="9">
        <f t="shared" si="29"/>
        <v>63.62700000000001</v>
      </c>
      <c r="AE121" s="9">
        <f t="shared" si="30"/>
        <v>4.3860000000000001</v>
      </c>
      <c r="AF121" s="9">
        <f t="shared" si="31"/>
        <v>68.012999999999991</v>
      </c>
      <c r="AG121" s="9"/>
      <c r="AH121" s="10">
        <v>31413</v>
      </c>
      <c r="AI121" s="9">
        <f t="shared" si="32"/>
        <v>23.314</v>
      </c>
      <c r="AJ121" s="9">
        <f t="shared" si="33"/>
        <v>4.38</v>
      </c>
      <c r="AK121" s="9">
        <f t="shared" si="34"/>
        <v>40.146000000000001</v>
      </c>
      <c r="AL121" s="9">
        <f t="shared" si="35"/>
        <v>-4.213000000000001</v>
      </c>
      <c r="AM121" s="12">
        <f t="shared" si="36"/>
        <v>44.698999999999991</v>
      </c>
    </row>
    <row r="122" spans="1:39" x14ac:dyDescent="0.25">
      <c r="A122">
        <v>99996</v>
      </c>
      <c r="B122" t="s">
        <v>107</v>
      </c>
      <c r="C122" s="13">
        <v>92375</v>
      </c>
      <c r="D122" s="13">
        <v>2172</v>
      </c>
      <c r="E122" s="13">
        <v>7158</v>
      </c>
      <c r="F122" s="13">
        <v>10650</v>
      </c>
      <c r="G122" s="13">
        <v>10843</v>
      </c>
      <c r="H122" s="13">
        <v>2923</v>
      </c>
      <c r="J122" s="13">
        <v>92985</v>
      </c>
      <c r="K122" s="13">
        <v>1411</v>
      </c>
      <c r="L122" s="13">
        <v>3610</v>
      </c>
      <c r="M122" s="13">
        <v>8870</v>
      </c>
      <c r="N122" s="13">
        <v>11826</v>
      </c>
      <c r="O122" s="13">
        <v>3691</v>
      </c>
      <c r="Q122" s="3">
        <f t="shared" si="19"/>
        <v>-0.61</v>
      </c>
      <c r="R122" s="3">
        <f t="shared" si="20"/>
        <v>0.76100000000000001</v>
      </c>
      <c r="S122" s="3">
        <f t="shared" si="21"/>
        <v>3.548</v>
      </c>
      <c r="T122" s="3">
        <f t="shared" si="22"/>
        <v>-0.98299999999999998</v>
      </c>
      <c r="U122" s="3"/>
      <c r="V122" s="3">
        <f t="shared" si="23"/>
        <v>1.78</v>
      </c>
      <c r="W122" s="3">
        <f t="shared" si="24"/>
        <v>-0.76800000000000002</v>
      </c>
      <c r="Y122" s="3">
        <f t="shared" si="25"/>
        <v>2.7159999999999997</v>
      </c>
      <c r="Z122" s="3">
        <f t="shared" si="26"/>
        <v>1.012</v>
      </c>
      <c r="AA122" s="3">
        <f t="shared" si="27"/>
        <v>3.7279999999999998</v>
      </c>
      <c r="AB122" s="3"/>
      <c r="AC122" s="2" t="str">
        <f t="shared" si="28"/>
        <v>1986-02</v>
      </c>
      <c r="AD122" s="9">
        <f t="shared" si="29"/>
        <v>59.180000000000007</v>
      </c>
      <c r="AE122" s="9">
        <f t="shared" si="30"/>
        <v>6.141</v>
      </c>
      <c r="AF122" s="9">
        <f t="shared" si="31"/>
        <v>65.320999999999984</v>
      </c>
      <c r="AG122" s="9"/>
      <c r="AH122" s="10">
        <v>31444</v>
      </c>
      <c r="AI122" s="9">
        <f t="shared" si="32"/>
        <v>20.374000000000002</v>
      </c>
      <c r="AJ122" s="9">
        <f t="shared" si="33"/>
        <v>4.7149999999999999</v>
      </c>
      <c r="AK122" s="9">
        <f t="shared" si="34"/>
        <v>39.49</v>
      </c>
      <c r="AL122" s="9">
        <f t="shared" si="35"/>
        <v>-5.399</v>
      </c>
      <c r="AM122" s="12">
        <f t="shared" si="36"/>
        <v>44.946999999999981</v>
      </c>
    </row>
    <row r="123" spans="1:39" x14ac:dyDescent="0.25">
      <c r="A123">
        <v>99996</v>
      </c>
      <c r="B123" t="s">
        <v>108</v>
      </c>
      <c r="C123" s="13">
        <v>112884</v>
      </c>
      <c r="D123" s="13">
        <v>2731</v>
      </c>
      <c r="E123" s="13">
        <v>9801</v>
      </c>
      <c r="F123" s="13">
        <v>13596</v>
      </c>
      <c r="G123" s="13">
        <v>12754</v>
      </c>
      <c r="H123" s="13">
        <v>3664</v>
      </c>
      <c r="J123" s="13">
        <v>102770</v>
      </c>
      <c r="K123" s="13">
        <v>2131</v>
      </c>
      <c r="L123" s="13">
        <v>5347</v>
      </c>
      <c r="M123" s="13">
        <v>10706</v>
      </c>
      <c r="N123" s="13">
        <v>15849</v>
      </c>
      <c r="O123" s="13">
        <v>5050</v>
      </c>
      <c r="Q123" s="3">
        <f t="shared" si="19"/>
        <v>10.114000000000001</v>
      </c>
      <c r="R123" s="3">
        <f t="shared" si="20"/>
        <v>0.6</v>
      </c>
      <c r="S123" s="3">
        <f t="shared" si="21"/>
        <v>4.4539999999999997</v>
      </c>
      <c r="T123" s="3">
        <f t="shared" si="22"/>
        <v>-3.0950000000000002</v>
      </c>
      <c r="U123" s="3"/>
      <c r="V123" s="3">
        <f t="shared" si="23"/>
        <v>2.89</v>
      </c>
      <c r="W123" s="3">
        <f t="shared" si="24"/>
        <v>-1.3859999999999999</v>
      </c>
      <c r="Y123" s="3">
        <f t="shared" si="25"/>
        <v>12.072999999999999</v>
      </c>
      <c r="Z123" s="3">
        <f t="shared" si="26"/>
        <v>1.5040000000000002</v>
      </c>
      <c r="AA123" s="3">
        <f t="shared" si="27"/>
        <v>13.577</v>
      </c>
      <c r="AB123" s="3"/>
      <c r="AC123" s="2" t="str">
        <f t="shared" si="28"/>
        <v>1986-03</v>
      </c>
      <c r="AD123" s="9">
        <f t="shared" si="29"/>
        <v>73.740000000000009</v>
      </c>
      <c r="AE123" s="9">
        <f t="shared" si="30"/>
        <v>8.5350000000000001</v>
      </c>
      <c r="AF123" s="9">
        <f t="shared" si="31"/>
        <v>82.274999999999991</v>
      </c>
      <c r="AG123" s="9"/>
      <c r="AH123" s="10">
        <v>31472</v>
      </c>
      <c r="AI123" s="9">
        <f t="shared" si="32"/>
        <v>34.876999999999995</v>
      </c>
      <c r="AJ123" s="9">
        <f t="shared" si="33"/>
        <v>5.3359999999999994</v>
      </c>
      <c r="AK123" s="9">
        <f t="shared" si="34"/>
        <v>41.021999999999998</v>
      </c>
      <c r="AL123" s="9">
        <f t="shared" si="35"/>
        <v>-7.495000000000001</v>
      </c>
      <c r="AM123" s="12">
        <f t="shared" si="36"/>
        <v>47.397999999999996</v>
      </c>
    </row>
    <row r="124" spans="1:39" x14ac:dyDescent="0.25">
      <c r="A124">
        <v>99996</v>
      </c>
      <c r="B124" t="s">
        <v>109</v>
      </c>
      <c r="C124" s="13">
        <v>127686</v>
      </c>
      <c r="D124" s="13">
        <v>3696</v>
      </c>
      <c r="E124" s="13">
        <v>9791</v>
      </c>
      <c r="F124" s="13">
        <v>15414</v>
      </c>
      <c r="G124" s="13">
        <v>15409</v>
      </c>
      <c r="H124" s="13">
        <v>4285</v>
      </c>
      <c r="J124" s="13">
        <v>118068</v>
      </c>
      <c r="K124" s="13">
        <v>3294</v>
      </c>
      <c r="L124" s="13">
        <v>5678</v>
      </c>
      <c r="M124" s="13">
        <v>11468</v>
      </c>
      <c r="N124" s="13">
        <v>16671</v>
      </c>
      <c r="O124" s="13">
        <v>5993</v>
      </c>
      <c r="Q124" s="3">
        <f t="shared" si="19"/>
        <v>9.6180000000000003</v>
      </c>
      <c r="R124" s="3">
        <f t="shared" si="20"/>
        <v>0.40200000000000002</v>
      </c>
      <c r="S124" s="3">
        <f t="shared" si="21"/>
        <v>4.1130000000000004</v>
      </c>
      <c r="T124" s="3">
        <f t="shared" si="22"/>
        <v>-1.262</v>
      </c>
      <c r="U124" s="3"/>
      <c r="V124" s="3">
        <f t="shared" si="23"/>
        <v>3.9460000000000002</v>
      </c>
      <c r="W124" s="3">
        <f t="shared" si="24"/>
        <v>-1.708</v>
      </c>
      <c r="Y124" s="3">
        <f t="shared" si="25"/>
        <v>12.870999999999999</v>
      </c>
      <c r="Z124" s="3">
        <f t="shared" si="26"/>
        <v>2.2380000000000004</v>
      </c>
      <c r="AA124" s="3">
        <f t="shared" si="27"/>
        <v>15.109</v>
      </c>
      <c r="AB124" s="3"/>
      <c r="AC124" s="2" t="str">
        <f t="shared" si="28"/>
        <v>1986-04</v>
      </c>
      <c r="AD124" s="9">
        <f t="shared" si="29"/>
        <v>81.593999999999994</v>
      </c>
      <c r="AE124" s="9">
        <f t="shared" si="30"/>
        <v>10.783999999999999</v>
      </c>
      <c r="AF124" s="9">
        <f t="shared" si="31"/>
        <v>92.378</v>
      </c>
      <c r="AG124" s="9"/>
      <c r="AH124" s="10">
        <v>31503</v>
      </c>
      <c r="AI124" s="9">
        <f t="shared" si="32"/>
        <v>40.183</v>
      </c>
      <c r="AJ124" s="9">
        <f t="shared" si="33"/>
        <v>5.5659999999999998</v>
      </c>
      <c r="AK124" s="9">
        <f t="shared" si="34"/>
        <v>43.907000000000004</v>
      </c>
      <c r="AL124" s="9">
        <f t="shared" si="35"/>
        <v>-8.0620000000000012</v>
      </c>
      <c r="AM124" s="12">
        <f t="shared" si="36"/>
        <v>52.195</v>
      </c>
    </row>
    <row r="125" spans="1:39" x14ac:dyDescent="0.25">
      <c r="A125">
        <v>99996</v>
      </c>
      <c r="B125" t="s">
        <v>110</v>
      </c>
      <c r="C125" s="13">
        <v>80847</v>
      </c>
      <c r="D125" s="13">
        <v>2428</v>
      </c>
      <c r="E125" s="13">
        <v>9679</v>
      </c>
      <c r="F125" s="13">
        <v>13245</v>
      </c>
      <c r="G125" s="13">
        <v>13613</v>
      </c>
      <c r="H125" s="13">
        <v>3413</v>
      </c>
      <c r="J125" s="13">
        <v>83664</v>
      </c>
      <c r="K125" s="13">
        <v>1885</v>
      </c>
      <c r="L125" s="13">
        <v>3415</v>
      </c>
      <c r="M125" s="13">
        <v>10388</v>
      </c>
      <c r="N125" s="13">
        <v>13425</v>
      </c>
      <c r="O125" s="13">
        <v>3673</v>
      </c>
      <c r="Q125" s="3">
        <f t="shared" si="19"/>
        <v>-2.8170000000000002</v>
      </c>
      <c r="R125" s="3">
        <f t="shared" si="20"/>
        <v>0.54300000000000004</v>
      </c>
      <c r="S125" s="3">
        <f t="shared" si="21"/>
        <v>6.2640000000000002</v>
      </c>
      <c r="T125" s="3">
        <f t="shared" si="22"/>
        <v>0.188</v>
      </c>
      <c r="U125" s="3"/>
      <c r="V125" s="3">
        <f t="shared" si="23"/>
        <v>2.8570000000000002</v>
      </c>
      <c r="W125" s="3">
        <f t="shared" si="24"/>
        <v>-0.26</v>
      </c>
      <c r="Y125" s="3">
        <f t="shared" si="25"/>
        <v>4.1779999999999999</v>
      </c>
      <c r="Z125" s="3">
        <f t="shared" si="26"/>
        <v>2.5970000000000004</v>
      </c>
      <c r="AA125" s="3">
        <f t="shared" si="27"/>
        <v>6.7750000000000004</v>
      </c>
      <c r="AB125" s="3"/>
      <c r="AC125" s="2" t="str">
        <f t="shared" si="28"/>
        <v>1986-05</v>
      </c>
      <c r="AD125" s="9">
        <f t="shared" si="29"/>
        <v>80.475999999999999</v>
      </c>
      <c r="AE125" s="9">
        <f t="shared" si="30"/>
        <v>13.186</v>
      </c>
      <c r="AF125" s="9">
        <f t="shared" si="31"/>
        <v>93.662000000000006</v>
      </c>
      <c r="AG125" s="9"/>
      <c r="AH125" s="10">
        <v>31533</v>
      </c>
      <c r="AI125" s="9">
        <f t="shared" si="32"/>
        <v>34.120999999999995</v>
      </c>
      <c r="AJ125" s="9">
        <f t="shared" si="33"/>
        <v>5.6739999999999995</v>
      </c>
      <c r="AK125" s="9">
        <f t="shared" si="34"/>
        <v>47.505000000000003</v>
      </c>
      <c r="AL125" s="9">
        <f t="shared" si="35"/>
        <v>-6.8240000000000007</v>
      </c>
      <c r="AM125" s="12">
        <f t="shared" si="36"/>
        <v>59.541000000000011</v>
      </c>
    </row>
    <row r="126" spans="1:39" x14ac:dyDescent="0.25">
      <c r="A126">
        <v>99996</v>
      </c>
      <c r="B126" t="s">
        <v>111</v>
      </c>
      <c r="C126" s="13">
        <v>87390</v>
      </c>
      <c r="D126" s="13">
        <v>2817</v>
      </c>
      <c r="E126" s="13">
        <v>6144</v>
      </c>
      <c r="F126" s="13">
        <v>11177</v>
      </c>
      <c r="G126" s="13">
        <v>15864</v>
      </c>
      <c r="H126" s="13">
        <v>4037</v>
      </c>
      <c r="J126" s="13">
        <v>84500</v>
      </c>
      <c r="K126" s="13">
        <v>1711</v>
      </c>
      <c r="L126" s="13">
        <v>4020</v>
      </c>
      <c r="M126" s="13">
        <v>10832</v>
      </c>
      <c r="N126" s="13">
        <v>14207</v>
      </c>
      <c r="O126" s="13">
        <v>4027</v>
      </c>
      <c r="Q126" s="3">
        <f t="shared" si="19"/>
        <v>2.89</v>
      </c>
      <c r="R126" s="3">
        <f t="shared" si="20"/>
        <v>1.1060000000000001</v>
      </c>
      <c r="S126" s="3">
        <f t="shared" si="21"/>
        <v>2.1240000000000001</v>
      </c>
      <c r="T126" s="3">
        <f t="shared" si="22"/>
        <v>1.657</v>
      </c>
      <c r="U126" s="3"/>
      <c r="V126" s="3">
        <f t="shared" si="23"/>
        <v>0.34499999999999997</v>
      </c>
      <c r="W126" s="3">
        <f t="shared" si="24"/>
        <v>0.01</v>
      </c>
      <c r="Y126" s="3">
        <f t="shared" si="25"/>
        <v>7.777000000000001</v>
      </c>
      <c r="Z126" s="3">
        <f t="shared" si="26"/>
        <v>0.35499999999999998</v>
      </c>
      <c r="AA126" s="3">
        <f t="shared" si="27"/>
        <v>8.1320000000000014</v>
      </c>
      <c r="AB126" s="3"/>
      <c r="AC126" s="2" t="str">
        <f t="shared" si="28"/>
        <v>1986-06</v>
      </c>
      <c r="AD126" s="9">
        <f t="shared" si="29"/>
        <v>81.515000000000001</v>
      </c>
      <c r="AE126" s="9">
        <f t="shared" si="30"/>
        <v>13.292000000000002</v>
      </c>
      <c r="AF126" s="9">
        <f t="shared" si="31"/>
        <v>94.807000000000002</v>
      </c>
      <c r="AG126" s="9"/>
      <c r="AH126" s="10">
        <v>31564</v>
      </c>
      <c r="AI126" s="9">
        <f t="shared" si="32"/>
        <v>31.297000000000004</v>
      </c>
      <c r="AJ126" s="9">
        <f t="shared" si="33"/>
        <v>6.6120000000000001</v>
      </c>
      <c r="AK126" s="9">
        <f t="shared" si="34"/>
        <v>48.403000000000006</v>
      </c>
      <c r="AL126" s="9">
        <f t="shared" si="35"/>
        <v>-4.7969999999999997</v>
      </c>
      <c r="AM126" s="12">
        <f t="shared" si="36"/>
        <v>63.51</v>
      </c>
    </row>
    <row r="127" spans="1:39" x14ac:dyDescent="0.25">
      <c r="A127">
        <v>99996</v>
      </c>
      <c r="B127" t="s">
        <v>112</v>
      </c>
      <c r="C127" s="13">
        <v>85799</v>
      </c>
      <c r="D127" s="13">
        <v>3775</v>
      </c>
      <c r="E127" s="13">
        <v>5167</v>
      </c>
      <c r="F127" s="13">
        <v>13276</v>
      </c>
      <c r="G127" s="13">
        <v>13671</v>
      </c>
      <c r="H127" s="13">
        <v>4238</v>
      </c>
      <c r="J127" s="13">
        <v>86875</v>
      </c>
      <c r="K127" s="13">
        <v>3131</v>
      </c>
      <c r="L127" s="13">
        <v>2633</v>
      </c>
      <c r="M127" s="13">
        <v>11261</v>
      </c>
      <c r="N127" s="13">
        <v>13305</v>
      </c>
      <c r="O127" s="13">
        <v>3811</v>
      </c>
      <c r="Q127" s="3">
        <f t="shared" si="19"/>
        <v>-1.0760000000000001</v>
      </c>
      <c r="R127" s="3">
        <f t="shared" si="20"/>
        <v>0.64400000000000002</v>
      </c>
      <c r="S127" s="3">
        <f t="shared" si="21"/>
        <v>2.5339999999999998</v>
      </c>
      <c r="T127" s="3">
        <f t="shared" si="22"/>
        <v>0.36599999999999999</v>
      </c>
      <c r="U127" s="3"/>
      <c r="V127" s="3">
        <f t="shared" si="23"/>
        <v>2.0150000000000001</v>
      </c>
      <c r="W127" s="3">
        <f t="shared" si="24"/>
        <v>0.42699999999999999</v>
      </c>
      <c r="Y127" s="3">
        <f t="shared" si="25"/>
        <v>2.468</v>
      </c>
      <c r="Z127" s="3">
        <f t="shared" si="26"/>
        <v>2.4420000000000002</v>
      </c>
      <c r="AA127" s="3">
        <f t="shared" si="27"/>
        <v>4.91</v>
      </c>
      <c r="AB127" s="3"/>
      <c r="AC127" s="2" t="str">
        <f t="shared" si="28"/>
        <v>1986-07</v>
      </c>
      <c r="AD127" s="9">
        <f t="shared" si="29"/>
        <v>75.474000000000004</v>
      </c>
      <c r="AE127" s="9">
        <f t="shared" si="30"/>
        <v>15.676000000000002</v>
      </c>
      <c r="AF127" s="9">
        <f t="shared" si="31"/>
        <v>91.15</v>
      </c>
      <c r="AG127" s="9"/>
      <c r="AH127" s="10">
        <v>31594</v>
      </c>
      <c r="AI127" s="9">
        <f t="shared" si="32"/>
        <v>25.401000000000003</v>
      </c>
      <c r="AJ127" s="9">
        <f t="shared" si="33"/>
        <v>6.3490000000000002</v>
      </c>
      <c r="AK127" s="9">
        <f t="shared" si="34"/>
        <v>47.608000000000004</v>
      </c>
      <c r="AL127" s="9">
        <f t="shared" si="35"/>
        <v>-3.8840000000000008</v>
      </c>
      <c r="AM127" s="12">
        <f t="shared" si="36"/>
        <v>65.748999999999995</v>
      </c>
    </row>
    <row r="128" spans="1:39" x14ac:dyDescent="0.25">
      <c r="A128">
        <v>99996</v>
      </c>
      <c r="B128" t="s">
        <v>113</v>
      </c>
      <c r="C128" s="13">
        <v>90288</v>
      </c>
      <c r="D128" s="13">
        <v>3164</v>
      </c>
      <c r="E128" s="13">
        <v>6406</v>
      </c>
      <c r="F128" s="13">
        <v>12050</v>
      </c>
      <c r="G128" s="13">
        <v>14141</v>
      </c>
      <c r="H128" s="13">
        <v>4447</v>
      </c>
      <c r="J128" s="13">
        <v>90231</v>
      </c>
      <c r="K128" s="13">
        <v>2691</v>
      </c>
      <c r="L128" s="13">
        <v>2722</v>
      </c>
      <c r="M128" s="13">
        <v>10598</v>
      </c>
      <c r="N128" s="13">
        <v>13079</v>
      </c>
      <c r="O128" s="13">
        <v>4606</v>
      </c>
      <c r="Q128" s="3">
        <f t="shared" si="19"/>
        <v>5.7000000000000002E-2</v>
      </c>
      <c r="R128" s="3">
        <f t="shared" si="20"/>
        <v>0.47299999999999998</v>
      </c>
      <c r="S128" s="3">
        <f t="shared" si="21"/>
        <v>3.6840000000000002</v>
      </c>
      <c r="T128" s="3">
        <f t="shared" si="22"/>
        <v>1.0620000000000001</v>
      </c>
      <c r="U128" s="3"/>
      <c r="V128" s="3">
        <f t="shared" si="23"/>
        <v>1.452</v>
      </c>
      <c r="W128" s="3">
        <f t="shared" si="24"/>
        <v>-0.159</v>
      </c>
      <c r="Y128" s="3">
        <f t="shared" si="25"/>
        <v>5.2760000000000007</v>
      </c>
      <c r="Z128" s="3">
        <f t="shared" si="26"/>
        <v>1.2929999999999999</v>
      </c>
      <c r="AA128" s="3">
        <f t="shared" si="27"/>
        <v>6.5690000000000008</v>
      </c>
      <c r="AB128" s="3"/>
      <c r="AC128" s="2" t="str">
        <f t="shared" si="28"/>
        <v>1986-08</v>
      </c>
      <c r="AD128" s="9">
        <f t="shared" si="29"/>
        <v>82.007999999999996</v>
      </c>
      <c r="AE128" s="9">
        <f t="shared" si="30"/>
        <v>16.540000000000003</v>
      </c>
      <c r="AF128" s="9">
        <f t="shared" si="31"/>
        <v>98.548000000000016</v>
      </c>
      <c r="AG128" s="9"/>
      <c r="AH128" s="10">
        <v>31625</v>
      </c>
      <c r="AI128" s="9">
        <f t="shared" si="32"/>
        <v>28.820000000000004</v>
      </c>
      <c r="AJ128" s="9">
        <f t="shared" si="33"/>
        <v>6.8330000000000002</v>
      </c>
      <c r="AK128" s="9">
        <f t="shared" si="34"/>
        <v>49.487000000000002</v>
      </c>
      <c r="AL128" s="9">
        <f t="shared" si="35"/>
        <v>-3.1320000000000014</v>
      </c>
      <c r="AM128" s="12">
        <f t="shared" si="36"/>
        <v>69.728000000000009</v>
      </c>
    </row>
    <row r="129" spans="1:39" x14ac:dyDescent="0.25">
      <c r="A129">
        <v>99996</v>
      </c>
      <c r="B129" t="s">
        <v>114</v>
      </c>
      <c r="C129" s="13">
        <v>88113</v>
      </c>
      <c r="D129" s="13">
        <v>3935</v>
      </c>
      <c r="E129" s="13">
        <v>6300</v>
      </c>
      <c r="F129" s="13">
        <v>12218</v>
      </c>
      <c r="G129" s="13">
        <v>15291</v>
      </c>
      <c r="H129" s="13">
        <v>4929</v>
      </c>
      <c r="J129" s="13">
        <v>84042</v>
      </c>
      <c r="K129" s="13">
        <v>3565</v>
      </c>
      <c r="L129" s="13">
        <v>2097</v>
      </c>
      <c r="M129" s="13">
        <v>10968</v>
      </c>
      <c r="N129" s="13">
        <v>17690</v>
      </c>
      <c r="O129" s="13">
        <v>4399</v>
      </c>
      <c r="Q129" s="3">
        <f t="shared" si="19"/>
        <v>4.0709999999999997</v>
      </c>
      <c r="R129" s="3">
        <f t="shared" si="20"/>
        <v>0.37</v>
      </c>
      <c r="S129" s="3">
        <f t="shared" si="21"/>
        <v>4.2030000000000003</v>
      </c>
      <c r="T129" s="3">
        <f t="shared" si="22"/>
        <v>-2.399</v>
      </c>
      <c r="U129" s="3"/>
      <c r="V129" s="3">
        <f t="shared" si="23"/>
        <v>1.25</v>
      </c>
      <c r="W129" s="3">
        <f t="shared" si="24"/>
        <v>0.53</v>
      </c>
      <c r="Y129" s="3">
        <f t="shared" si="25"/>
        <v>6.2450000000000001</v>
      </c>
      <c r="Z129" s="3">
        <f t="shared" si="26"/>
        <v>1.78</v>
      </c>
      <c r="AA129" s="3">
        <f t="shared" si="27"/>
        <v>8.0250000000000004</v>
      </c>
      <c r="AB129" s="3"/>
      <c r="AC129" s="2" t="str">
        <f t="shared" si="28"/>
        <v>1986-09</v>
      </c>
      <c r="AD129" s="9">
        <f t="shared" si="29"/>
        <v>78.286000000000001</v>
      </c>
      <c r="AE129" s="9">
        <f t="shared" si="30"/>
        <v>18.427000000000003</v>
      </c>
      <c r="AF129" s="9">
        <f t="shared" si="31"/>
        <v>96.713000000000008</v>
      </c>
      <c r="AG129" s="9"/>
      <c r="AH129" s="10">
        <v>31656</v>
      </c>
      <c r="AI129" s="9">
        <f t="shared" si="32"/>
        <v>26.344999999999999</v>
      </c>
      <c r="AJ129" s="9">
        <f t="shared" si="33"/>
        <v>6.8250000000000002</v>
      </c>
      <c r="AK129" s="9">
        <f t="shared" si="34"/>
        <v>50.232000000000006</v>
      </c>
      <c r="AL129" s="9">
        <f t="shared" si="35"/>
        <v>-5.1160000000000005</v>
      </c>
      <c r="AM129" s="12">
        <f t="shared" si="36"/>
        <v>70.368000000000009</v>
      </c>
    </row>
    <row r="130" spans="1:39" x14ac:dyDescent="0.25">
      <c r="A130">
        <v>99996</v>
      </c>
      <c r="B130" t="s">
        <v>115</v>
      </c>
      <c r="C130" s="13">
        <v>87881</v>
      </c>
      <c r="D130" s="13">
        <v>3195</v>
      </c>
      <c r="E130" s="13">
        <v>6387</v>
      </c>
      <c r="F130" s="13">
        <v>10979</v>
      </c>
      <c r="G130" s="13">
        <v>16301</v>
      </c>
      <c r="H130" s="13">
        <v>6026</v>
      </c>
      <c r="J130" s="13">
        <v>85777</v>
      </c>
      <c r="K130" s="13">
        <v>2908</v>
      </c>
      <c r="L130" s="13">
        <v>2651</v>
      </c>
      <c r="M130" s="13">
        <v>12300</v>
      </c>
      <c r="N130" s="13">
        <v>14243</v>
      </c>
      <c r="O130" s="13">
        <v>5039</v>
      </c>
      <c r="Q130" s="3">
        <f t="shared" si="19"/>
        <v>2.1040000000000001</v>
      </c>
      <c r="R130" s="3">
        <f t="shared" si="20"/>
        <v>0.28699999999999998</v>
      </c>
      <c r="S130" s="3">
        <f t="shared" si="21"/>
        <v>3.7360000000000002</v>
      </c>
      <c r="T130" s="3">
        <f t="shared" si="22"/>
        <v>2.0579999999999998</v>
      </c>
      <c r="U130" s="3"/>
      <c r="V130" s="3">
        <f t="shared" si="23"/>
        <v>-1.321</v>
      </c>
      <c r="W130" s="3">
        <f t="shared" si="24"/>
        <v>0.98699999999999999</v>
      </c>
      <c r="Y130" s="3">
        <f t="shared" si="25"/>
        <v>8.1850000000000005</v>
      </c>
      <c r="Z130" s="3">
        <f t="shared" si="26"/>
        <v>-0.33399999999999996</v>
      </c>
      <c r="AA130" s="3">
        <f t="shared" si="27"/>
        <v>7.8510000000000009</v>
      </c>
      <c r="AB130" s="3"/>
      <c r="AC130" s="2" t="str">
        <f t="shared" si="28"/>
        <v>1986-10</v>
      </c>
      <c r="AD130" s="9">
        <f t="shared" si="29"/>
        <v>82.993000000000009</v>
      </c>
      <c r="AE130" s="9">
        <f t="shared" si="30"/>
        <v>17.468000000000004</v>
      </c>
      <c r="AF130" s="9">
        <f t="shared" si="31"/>
        <v>100.46100000000001</v>
      </c>
      <c r="AG130" s="9"/>
      <c r="AH130" s="10">
        <v>31686</v>
      </c>
      <c r="AI130" s="9">
        <f t="shared" si="32"/>
        <v>28.833999999999996</v>
      </c>
      <c r="AJ130" s="9">
        <f t="shared" si="33"/>
        <v>6.2490000000000006</v>
      </c>
      <c r="AK130" s="9">
        <f t="shared" si="34"/>
        <v>50.204000000000001</v>
      </c>
      <c r="AL130" s="9">
        <f t="shared" si="35"/>
        <v>-2.2940000000000014</v>
      </c>
      <c r="AM130" s="12">
        <f t="shared" si="36"/>
        <v>71.62700000000001</v>
      </c>
    </row>
    <row r="131" spans="1:39" x14ac:dyDescent="0.25">
      <c r="A131">
        <v>99996</v>
      </c>
      <c r="B131" t="s">
        <v>116</v>
      </c>
      <c r="C131" s="13">
        <v>70351</v>
      </c>
      <c r="D131" s="13">
        <v>4101</v>
      </c>
      <c r="E131" s="13">
        <v>5177</v>
      </c>
      <c r="F131" s="13">
        <v>12033</v>
      </c>
      <c r="G131" s="13">
        <v>12712</v>
      </c>
      <c r="H131" s="13">
        <v>4110</v>
      </c>
      <c r="J131" s="13">
        <v>72773</v>
      </c>
      <c r="K131" s="13">
        <v>2795</v>
      </c>
      <c r="L131" s="13">
        <v>3317</v>
      </c>
      <c r="M131" s="13">
        <v>12086</v>
      </c>
      <c r="N131" s="13">
        <v>13467</v>
      </c>
      <c r="O131" s="13">
        <v>3779</v>
      </c>
      <c r="Q131" s="3">
        <f t="shared" si="19"/>
        <v>-2.4220000000000002</v>
      </c>
      <c r="R131" s="3">
        <f t="shared" si="20"/>
        <v>1.306</v>
      </c>
      <c r="S131" s="3">
        <f t="shared" si="21"/>
        <v>1.86</v>
      </c>
      <c r="T131" s="3">
        <f t="shared" si="22"/>
        <v>-0.755</v>
      </c>
      <c r="U131" s="3"/>
      <c r="V131" s="3">
        <f t="shared" si="23"/>
        <v>-5.2999999999999999E-2</v>
      </c>
      <c r="W131" s="3">
        <f t="shared" si="24"/>
        <v>0.33100000000000002</v>
      </c>
      <c r="Y131" s="3">
        <f t="shared" si="25"/>
        <v>-1.100000000000001E-2</v>
      </c>
      <c r="Z131" s="3">
        <f t="shared" si="26"/>
        <v>0.27800000000000002</v>
      </c>
      <c r="AA131" s="3">
        <f t="shared" si="27"/>
        <v>0.26700000000000002</v>
      </c>
      <c r="AB131" s="3"/>
      <c r="AC131" s="2" t="str">
        <f t="shared" si="28"/>
        <v>1986-11</v>
      </c>
      <c r="AD131" s="9">
        <f t="shared" si="29"/>
        <v>73.353999999999999</v>
      </c>
      <c r="AE131" s="9">
        <f t="shared" si="30"/>
        <v>16.778000000000002</v>
      </c>
      <c r="AF131" s="9">
        <f t="shared" si="31"/>
        <v>90.132000000000005</v>
      </c>
      <c r="AG131" s="9"/>
      <c r="AH131" s="10">
        <v>31717</v>
      </c>
      <c r="AI131" s="9">
        <f t="shared" si="32"/>
        <v>25.243999999999996</v>
      </c>
      <c r="AJ131" s="9">
        <f t="shared" si="33"/>
        <v>6.7450000000000001</v>
      </c>
      <c r="AK131" s="9">
        <f t="shared" si="34"/>
        <v>44.685999999999993</v>
      </c>
      <c r="AL131" s="9">
        <f t="shared" si="35"/>
        <v>-3.3210000000000015</v>
      </c>
      <c r="AM131" s="12">
        <f t="shared" si="36"/>
        <v>64.888000000000005</v>
      </c>
    </row>
    <row r="132" spans="1:39" x14ac:dyDescent="0.25">
      <c r="A132">
        <v>99996</v>
      </c>
      <c r="B132" t="s">
        <v>117</v>
      </c>
      <c r="C132" s="13">
        <v>83425</v>
      </c>
      <c r="D132" s="13">
        <v>3773</v>
      </c>
      <c r="E132" s="13">
        <v>8207</v>
      </c>
      <c r="F132" s="13">
        <v>14100</v>
      </c>
      <c r="G132" s="13">
        <v>16414</v>
      </c>
      <c r="H132" s="13">
        <v>4573</v>
      </c>
      <c r="J132" s="13">
        <v>82478</v>
      </c>
      <c r="K132" s="13">
        <v>3244</v>
      </c>
      <c r="L132" s="13">
        <v>4498</v>
      </c>
      <c r="M132" s="13">
        <v>12320</v>
      </c>
      <c r="N132" s="13">
        <v>16888</v>
      </c>
      <c r="O132" s="13">
        <v>4525</v>
      </c>
      <c r="Q132" s="3">
        <f t="shared" si="19"/>
        <v>0.94699999999999995</v>
      </c>
      <c r="R132" s="3">
        <f t="shared" si="20"/>
        <v>0.52900000000000003</v>
      </c>
      <c r="S132" s="3">
        <f t="shared" si="21"/>
        <v>3.7090000000000001</v>
      </c>
      <c r="T132" s="3">
        <f t="shared" si="22"/>
        <v>-0.47399999999999998</v>
      </c>
      <c r="U132" s="3"/>
      <c r="V132" s="3">
        <f t="shared" si="23"/>
        <v>1.78</v>
      </c>
      <c r="W132" s="3">
        <f t="shared" si="24"/>
        <v>4.8000000000000001E-2</v>
      </c>
      <c r="Y132" s="3">
        <f t="shared" si="25"/>
        <v>4.7110000000000003</v>
      </c>
      <c r="Z132" s="3">
        <f t="shared" si="26"/>
        <v>1.8280000000000001</v>
      </c>
      <c r="AA132" s="3">
        <f t="shared" si="27"/>
        <v>6.5390000000000006</v>
      </c>
      <c r="AB132" s="3"/>
      <c r="AC132" s="2" t="str">
        <f t="shared" si="28"/>
        <v>1986-12</v>
      </c>
      <c r="AD132" s="9">
        <f t="shared" si="29"/>
        <v>66.160000000000011</v>
      </c>
      <c r="AE132" s="9">
        <f t="shared" si="30"/>
        <v>16.869</v>
      </c>
      <c r="AF132" s="9">
        <f t="shared" si="31"/>
        <v>83.028999999999996</v>
      </c>
      <c r="AG132" s="9"/>
      <c r="AH132" s="10">
        <v>31747</v>
      </c>
      <c r="AI132" s="9">
        <f t="shared" si="32"/>
        <v>19.388999999999999</v>
      </c>
      <c r="AJ132" s="9">
        <f t="shared" si="33"/>
        <v>6.9780000000000006</v>
      </c>
      <c r="AK132" s="9">
        <f t="shared" si="34"/>
        <v>43.478999999999999</v>
      </c>
      <c r="AL132" s="9">
        <f t="shared" si="35"/>
        <v>-3.6860000000000017</v>
      </c>
      <c r="AM132" s="12">
        <f t="shared" si="36"/>
        <v>63.64</v>
      </c>
    </row>
    <row r="133" spans="1:39" x14ac:dyDescent="0.25">
      <c r="A133">
        <v>99996</v>
      </c>
      <c r="B133" t="s">
        <v>118</v>
      </c>
      <c r="C133" s="13">
        <v>76705</v>
      </c>
      <c r="D133" s="13">
        <v>4598</v>
      </c>
      <c r="E133" s="13">
        <v>4710</v>
      </c>
      <c r="F133" s="13">
        <v>17654</v>
      </c>
      <c r="G133" s="13">
        <v>11489</v>
      </c>
      <c r="H133" s="13">
        <v>4992</v>
      </c>
      <c r="J133" s="13">
        <v>77156</v>
      </c>
      <c r="K133" s="13">
        <v>4374</v>
      </c>
      <c r="L133" s="13">
        <v>2811</v>
      </c>
      <c r="M133" s="13">
        <v>15989</v>
      </c>
      <c r="N133" s="13">
        <v>11248</v>
      </c>
      <c r="O133" s="13">
        <v>5207</v>
      </c>
      <c r="Q133" s="3">
        <f t="shared" si="19"/>
        <v>-0.45100000000000001</v>
      </c>
      <c r="R133" s="3">
        <f t="shared" si="20"/>
        <v>0.224</v>
      </c>
      <c r="S133" s="3">
        <f t="shared" si="21"/>
        <v>1.899</v>
      </c>
      <c r="T133" s="3">
        <f t="shared" si="22"/>
        <v>0.24099999999999999</v>
      </c>
      <c r="U133" s="3"/>
      <c r="V133" s="3">
        <f t="shared" si="23"/>
        <v>1.665</v>
      </c>
      <c r="W133" s="3">
        <f t="shared" si="24"/>
        <v>-0.215</v>
      </c>
      <c r="Y133" s="3">
        <f t="shared" si="25"/>
        <v>1.9129999999999998</v>
      </c>
      <c r="Z133" s="3">
        <f t="shared" si="26"/>
        <v>1.45</v>
      </c>
      <c r="AA133" s="3">
        <f t="shared" si="27"/>
        <v>3.363</v>
      </c>
      <c r="AB133" s="3"/>
      <c r="AC133" s="2" t="str">
        <f t="shared" si="28"/>
        <v>1987-01</v>
      </c>
      <c r="AD133" s="9">
        <f t="shared" si="29"/>
        <v>68.402000000000001</v>
      </c>
      <c r="AE133" s="9">
        <f t="shared" si="30"/>
        <v>16.443000000000001</v>
      </c>
      <c r="AF133" s="9">
        <f t="shared" si="31"/>
        <v>84.844999999999999</v>
      </c>
      <c r="AG133" s="9"/>
      <c r="AH133" s="10">
        <v>31778</v>
      </c>
      <c r="AI133" s="9">
        <f t="shared" si="32"/>
        <v>22.424999999999997</v>
      </c>
      <c r="AJ133" s="9">
        <f t="shared" si="33"/>
        <v>7.2450000000000001</v>
      </c>
      <c r="AK133" s="9">
        <f t="shared" si="34"/>
        <v>42.128</v>
      </c>
      <c r="AL133" s="9">
        <f t="shared" si="35"/>
        <v>-3.3960000000000004</v>
      </c>
      <c r="AM133" s="12">
        <f t="shared" si="36"/>
        <v>62.42</v>
      </c>
    </row>
    <row r="134" spans="1:39" x14ac:dyDescent="0.25">
      <c r="A134">
        <v>99996</v>
      </c>
      <c r="B134" t="s">
        <v>119</v>
      </c>
      <c r="C134" s="13">
        <v>100815</v>
      </c>
      <c r="D134" s="13">
        <v>4052</v>
      </c>
      <c r="E134" s="13">
        <v>4253</v>
      </c>
      <c r="F134" s="13">
        <v>20748</v>
      </c>
      <c r="G134" s="13">
        <v>15858</v>
      </c>
      <c r="H134" s="13">
        <v>7253</v>
      </c>
      <c r="J134" s="13">
        <v>100666</v>
      </c>
      <c r="K134" s="13">
        <v>3094</v>
      </c>
      <c r="L134" s="13">
        <v>2793</v>
      </c>
      <c r="M134" s="13">
        <v>17663</v>
      </c>
      <c r="N134" s="13">
        <v>15937</v>
      </c>
      <c r="O134" s="13">
        <v>7850</v>
      </c>
      <c r="Q134" s="3">
        <f t="shared" si="19"/>
        <v>0.14899999999999999</v>
      </c>
      <c r="R134" s="3">
        <f t="shared" si="20"/>
        <v>0.95799999999999996</v>
      </c>
      <c r="S134" s="3">
        <f t="shared" si="21"/>
        <v>1.46</v>
      </c>
      <c r="T134" s="3">
        <f t="shared" si="22"/>
        <v>-7.9000000000000001E-2</v>
      </c>
      <c r="U134" s="3"/>
      <c r="V134" s="3">
        <f t="shared" si="23"/>
        <v>3.085</v>
      </c>
      <c r="W134" s="3">
        <f t="shared" si="24"/>
        <v>-0.59699999999999998</v>
      </c>
      <c r="Y134" s="3">
        <f t="shared" si="25"/>
        <v>2.488</v>
      </c>
      <c r="Z134" s="3">
        <f t="shared" si="26"/>
        <v>2.488</v>
      </c>
      <c r="AA134" s="3">
        <f t="shared" si="27"/>
        <v>4.9760000000000009</v>
      </c>
      <c r="AB134" s="3"/>
      <c r="AC134" s="2" t="str">
        <f t="shared" si="28"/>
        <v>1987-02</v>
      </c>
      <c r="AD134" s="9">
        <f t="shared" si="29"/>
        <v>68.174000000000007</v>
      </c>
      <c r="AE134" s="9">
        <f t="shared" si="30"/>
        <v>17.919</v>
      </c>
      <c r="AF134" s="9">
        <f t="shared" si="31"/>
        <v>86.093000000000004</v>
      </c>
      <c r="AG134" s="9"/>
      <c r="AH134" s="10">
        <v>31809</v>
      </c>
      <c r="AI134" s="9">
        <f t="shared" si="32"/>
        <v>23.183999999999997</v>
      </c>
      <c r="AJ134" s="9">
        <f t="shared" si="33"/>
        <v>7.4420000000000002</v>
      </c>
      <c r="AK134" s="9">
        <f t="shared" si="34"/>
        <v>40.040000000000006</v>
      </c>
      <c r="AL134" s="9">
        <f t="shared" si="35"/>
        <v>-2.4920000000000009</v>
      </c>
      <c r="AM134" s="12">
        <f t="shared" si="36"/>
        <v>62.909000000000006</v>
      </c>
    </row>
    <row r="135" spans="1:39" x14ac:dyDescent="0.25">
      <c r="A135">
        <v>99996</v>
      </c>
      <c r="B135" t="s">
        <v>120</v>
      </c>
      <c r="C135" s="13">
        <v>133222</v>
      </c>
      <c r="D135" s="13">
        <v>4375</v>
      </c>
      <c r="E135" s="13">
        <v>7752</v>
      </c>
      <c r="F135" s="13">
        <v>23085</v>
      </c>
      <c r="G135" s="13">
        <v>16662</v>
      </c>
      <c r="H135" s="13">
        <v>7154</v>
      </c>
      <c r="J135" s="13">
        <v>126230</v>
      </c>
      <c r="K135" s="13">
        <v>4843</v>
      </c>
      <c r="L135" s="13">
        <v>3435</v>
      </c>
      <c r="M135" s="13">
        <v>18031</v>
      </c>
      <c r="N135" s="13">
        <v>17330</v>
      </c>
      <c r="O135" s="13">
        <v>7935</v>
      </c>
      <c r="Q135" s="3">
        <f t="shared" si="19"/>
        <v>6.992</v>
      </c>
      <c r="R135" s="3">
        <f t="shared" si="20"/>
        <v>-0.46800000000000003</v>
      </c>
      <c r="S135" s="3">
        <f t="shared" si="21"/>
        <v>4.3170000000000002</v>
      </c>
      <c r="T135" s="3">
        <f t="shared" si="22"/>
        <v>-0.66800000000000004</v>
      </c>
      <c r="U135" s="3"/>
      <c r="V135" s="3">
        <f t="shared" si="23"/>
        <v>5.0540000000000003</v>
      </c>
      <c r="W135" s="3">
        <f t="shared" si="24"/>
        <v>-0.78100000000000003</v>
      </c>
      <c r="Y135" s="3">
        <f t="shared" si="25"/>
        <v>10.173000000000002</v>
      </c>
      <c r="Z135" s="3">
        <f t="shared" si="26"/>
        <v>4.2730000000000006</v>
      </c>
      <c r="AA135" s="3">
        <f t="shared" si="27"/>
        <v>14.446000000000002</v>
      </c>
      <c r="AB135" s="3"/>
      <c r="AC135" s="2" t="str">
        <f t="shared" si="28"/>
        <v>1987-03</v>
      </c>
      <c r="AD135" s="9">
        <f t="shared" si="29"/>
        <v>66.274000000000001</v>
      </c>
      <c r="AE135" s="9">
        <f t="shared" si="30"/>
        <v>20.687999999999999</v>
      </c>
      <c r="AF135" s="9">
        <f t="shared" si="31"/>
        <v>86.962000000000003</v>
      </c>
      <c r="AG135" s="9"/>
      <c r="AH135" s="10">
        <v>31837</v>
      </c>
      <c r="AI135" s="9">
        <f t="shared" si="32"/>
        <v>20.061999999999998</v>
      </c>
      <c r="AJ135" s="9">
        <f t="shared" si="33"/>
        <v>6.3740000000000006</v>
      </c>
      <c r="AK135" s="9">
        <f t="shared" si="34"/>
        <v>39.903000000000006</v>
      </c>
      <c r="AL135" s="9">
        <f t="shared" si="35"/>
        <v>-6.5000000000000058E-2</v>
      </c>
      <c r="AM135" s="12">
        <f t="shared" si="36"/>
        <v>66.900000000000006</v>
      </c>
    </row>
    <row r="136" spans="1:39" x14ac:dyDescent="0.25">
      <c r="A136">
        <v>99996</v>
      </c>
      <c r="B136" t="s">
        <v>121</v>
      </c>
      <c r="C136" s="13">
        <v>115258</v>
      </c>
      <c r="D136" s="13">
        <v>2999</v>
      </c>
      <c r="E136" s="13">
        <v>6859</v>
      </c>
      <c r="F136" s="13">
        <v>20788</v>
      </c>
      <c r="G136" s="13">
        <v>19071</v>
      </c>
      <c r="H136" s="13">
        <v>7220</v>
      </c>
      <c r="J136" s="13">
        <v>118454</v>
      </c>
      <c r="K136" s="13">
        <v>2918</v>
      </c>
      <c r="L136" s="13">
        <v>3602</v>
      </c>
      <c r="M136" s="13">
        <v>17451</v>
      </c>
      <c r="N136" s="13">
        <v>19900</v>
      </c>
      <c r="O136" s="13">
        <v>8477</v>
      </c>
      <c r="Q136" s="3">
        <f t="shared" si="19"/>
        <v>-3.1960000000000002</v>
      </c>
      <c r="R136" s="3">
        <f t="shared" si="20"/>
        <v>8.1000000000000003E-2</v>
      </c>
      <c r="S136" s="3">
        <f t="shared" si="21"/>
        <v>3.2570000000000001</v>
      </c>
      <c r="T136" s="3">
        <f t="shared" si="22"/>
        <v>-0.82899999999999996</v>
      </c>
      <c r="U136" s="3"/>
      <c r="V136" s="3">
        <f t="shared" si="23"/>
        <v>3.3370000000000002</v>
      </c>
      <c r="W136" s="3">
        <f t="shared" si="24"/>
        <v>-1.2569999999999999</v>
      </c>
      <c r="Y136" s="3">
        <f t="shared" si="25"/>
        <v>-0.68700000000000006</v>
      </c>
      <c r="Z136" s="3">
        <f t="shared" si="26"/>
        <v>2.08</v>
      </c>
      <c r="AA136" s="3">
        <f t="shared" si="27"/>
        <v>1.3930000000000005</v>
      </c>
      <c r="AB136" s="3"/>
      <c r="AC136" s="2" t="str">
        <f t="shared" si="28"/>
        <v>1987-04</v>
      </c>
      <c r="AD136" s="9">
        <f t="shared" si="29"/>
        <v>52.716000000000001</v>
      </c>
      <c r="AE136" s="9">
        <f t="shared" si="30"/>
        <v>20.53</v>
      </c>
      <c r="AF136" s="9">
        <f t="shared" si="31"/>
        <v>73.246000000000009</v>
      </c>
      <c r="AG136" s="9"/>
      <c r="AH136" s="10">
        <v>31868</v>
      </c>
      <c r="AI136" s="9">
        <f t="shared" si="32"/>
        <v>7.2479999999999993</v>
      </c>
      <c r="AJ136" s="9">
        <f t="shared" si="33"/>
        <v>6.0530000000000008</v>
      </c>
      <c r="AK136" s="9">
        <f t="shared" si="34"/>
        <v>39.047000000000004</v>
      </c>
      <c r="AL136" s="9">
        <f t="shared" si="35"/>
        <v>0.36799999999999966</v>
      </c>
      <c r="AM136" s="12">
        <f t="shared" si="36"/>
        <v>65.998000000000005</v>
      </c>
    </row>
    <row r="137" spans="1:39" x14ac:dyDescent="0.25">
      <c r="A137">
        <v>99996</v>
      </c>
      <c r="B137" t="s">
        <v>122</v>
      </c>
      <c r="C137" s="13">
        <v>106449</v>
      </c>
      <c r="D137" s="13">
        <v>2771</v>
      </c>
      <c r="E137" s="13">
        <v>6077</v>
      </c>
      <c r="F137" s="13">
        <v>19649</v>
      </c>
      <c r="G137" s="13">
        <v>20179</v>
      </c>
      <c r="H137" s="13">
        <v>8098</v>
      </c>
      <c r="J137" s="13">
        <v>106733</v>
      </c>
      <c r="K137" s="13">
        <v>2410</v>
      </c>
      <c r="L137" s="13">
        <v>4448</v>
      </c>
      <c r="M137" s="13">
        <v>15972</v>
      </c>
      <c r="N137" s="13">
        <v>21410</v>
      </c>
      <c r="O137" s="13">
        <v>7490</v>
      </c>
      <c r="Q137" s="3">
        <f t="shared" si="19"/>
        <v>-0.28399999999999997</v>
      </c>
      <c r="R137" s="3">
        <f t="shared" si="20"/>
        <v>0.36099999999999999</v>
      </c>
      <c r="S137" s="3">
        <f t="shared" si="21"/>
        <v>1.629</v>
      </c>
      <c r="T137" s="3">
        <f t="shared" si="22"/>
        <v>-1.2310000000000001</v>
      </c>
      <c r="U137" s="3"/>
      <c r="V137" s="3">
        <f t="shared" si="23"/>
        <v>3.677</v>
      </c>
      <c r="W137" s="3">
        <f t="shared" si="24"/>
        <v>0.60799999999999998</v>
      </c>
      <c r="Y137" s="3">
        <f t="shared" si="25"/>
        <v>0.47499999999999987</v>
      </c>
      <c r="Z137" s="3">
        <f t="shared" si="26"/>
        <v>4.2850000000000001</v>
      </c>
      <c r="AA137" s="3">
        <f t="shared" si="27"/>
        <v>4.76</v>
      </c>
      <c r="AB137" s="3"/>
      <c r="AC137" s="2" t="str">
        <f t="shared" si="28"/>
        <v>1987-05</v>
      </c>
      <c r="AD137" s="9">
        <f t="shared" si="29"/>
        <v>49.013000000000005</v>
      </c>
      <c r="AE137" s="9">
        <f t="shared" si="30"/>
        <v>22.218</v>
      </c>
      <c r="AF137" s="9">
        <f t="shared" si="31"/>
        <v>71.231000000000009</v>
      </c>
      <c r="AG137" s="9"/>
      <c r="AH137" s="10">
        <v>31898</v>
      </c>
      <c r="AI137" s="9">
        <f t="shared" si="32"/>
        <v>9.7809999999999988</v>
      </c>
      <c r="AJ137" s="9">
        <f t="shared" si="33"/>
        <v>5.8710000000000004</v>
      </c>
      <c r="AK137" s="9">
        <f t="shared" si="34"/>
        <v>34.411999999999999</v>
      </c>
      <c r="AL137" s="9">
        <f t="shared" si="35"/>
        <v>-1.0510000000000002</v>
      </c>
      <c r="AM137" s="12">
        <f t="shared" si="36"/>
        <v>61.45000000000001</v>
      </c>
    </row>
    <row r="138" spans="1:39" x14ac:dyDescent="0.25">
      <c r="A138">
        <v>99996</v>
      </c>
      <c r="B138" t="s">
        <v>123</v>
      </c>
      <c r="C138" s="13">
        <v>146198</v>
      </c>
      <c r="D138" s="13">
        <v>4371</v>
      </c>
      <c r="E138" s="13">
        <v>6060</v>
      </c>
      <c r="F138" s="13">
        <v>18698</v>
      </c>
      <c r="G138" s="13">
        <v>25839</v>
      </c>
      <c r="H138" s="13">
        <v>8874</v>
      </c>
      <c r="J138" s="13">
        <v>133917</v>
      </c>
      <c r="K138" s="13">
        <v>3786</v>
      </c>
      <c r="L138" s="13">
        <v>4530</v>
      </c>
      <c r="M138" s="13">
        <v>17067</v>
      </c>
      <c r="N138" s="13">
        <v>23589</v>
      </c>
      <c r="O138" s="13">
        <v>9176</v>
      </c>
      <c r="Q138" s="3">
        <f t="shared" si="19"/>
        <v>12.281000000000001</v>
      </c>
      <c r="R138" s="3">
        <f t="shared" si="20"/>
        <v>0.58499999999999996</v>
      </c>
      <c r="S138" s="3">
        <f t="shared" si="21"/>
        <v>1.53</v>
      </c>
      <c r="T138" s="3">
        <f t="shared" si="22"/>
        <v>2.25</v>
      </c>
      <c r="U138" s="3"/>
      <c r="V138" s="3">
        <f t="shared" si="23"/>
        <v>1.631</v>
      </c>
      <c r="W138" s="3">
        <f t="shared" si="24"/>
        <v>-0.30199999999999999</v>
      </c>
      <c r="Y138" s="3">
        <f t="shared" si="25"/>
        <v>16.646000000000001</v>
      </c>
      <c r="Z138" s="3">
        <f t="shared" si="26"/>
        <v>1.329</v>
      </c>
      <c r="AA138" s="3">
        <f t="shared" si="27"/>
        <v>17.975000000000001</v>
      </c>
      <c r="AB138" s="3"/>
      <c r="AC138" s="2" t="str">
        <f t="shared" si="28"/>
        <v>1987-06</v>
      </c>
      <c r="AD138" s="9">
        <f t="shared" si="29"/>
        <v>57.882000000000012</v>
      </c>
      <c r="AE138" s="9">
        <f t="shared" si="30"/>
        <v>23.192000000000004</v>
      </c>
      <c r="AF138" s="9">
        <f t="shared" si="31"/>
        <v>81.073999999999998</v>
      </c>
      <c r="AG138" s="9"/>
      <c r="AH138" s="10">
        <v>31929</v>
      </c>
      <c r="AI138" s="9">
        <f t="shared" si="32"/>
        <v>19.172000000000001</v>
      </c>
      <c r="AJ138" s="9">
        <f t="shared" si="33"/>
        <v>5.3500000000000005</v>
      </c>
      <c r="AK138" s="9">
        <f t="shared" si="34"/>
        <v>33.818000000000005</v>
      </c>
      <c r="AL138" s="9">
        <f t="shared" si="35"/>
        <v>-0.45800000000000018</v>
      </c>
      <c r="AM138" s="12">
        <f t="shared" si="36"/>
        <v>61.902000000000001</v>
      </c>
    </row>
    <row r="139" spans="1:39" x14ac:dyDescent="0.25">
      <c r="A139">
        <v>99996</v>
      </c>
      <c r="B139" t="s">
        <v>124</v>
      </c>
      <c r="C139" s="13">
        <v>113038</v>
      </c>
      <c r="D139" s="13">
        <v>3441</v>
      </c>
      <c r="E139" s="13">
        <v>5972</v>
      </c>
      <c r="F139" s="13">
        <v>23665</v>
      </c>
      <c r="G139" s="13">
        <v>16380</v>
      </c>
      <c r="H139" s="13">
        <v>8731</v>
      </c>
      <c r="J139" s="13">
        <v>112230</v>
      </c>
      <c r="K139" s="13">
        <v>2880</v>
      </c>
      <c r="L139" s="13">
        <v>3659</v>
      </c>
      <c r="M139" s="13">
        <v>21903</v>
      </c>
      <c r="N139" s="13">
        <v>16996</v>
      </c>
      <c r="O139" s="13">
        <v>8826</v>
      </c>
      <c r="Q139" s="3">
        <f t="shared" si="19"/>
        <v>0.80800000000000005</v>
      </c>
      <c r="R139" s="3">
        <f t="shared" si="20"/>
        <v>0.56100000000000005</v>
      </c>
      <c r="S139" s="3">
        <f t="shared" si="21"/>
        <v>2.3130000000000002</v>
      </c>
      <c r="T139" s="3">
        <f t="shared" si="22"/>
        <v>-0.61599999999999999</v>
      </c>
      <c r="U139" s="3"/>
      <c r="V139" s="3">
        <f t="shared" si="23"/>
        <v>1.762</v>
      </c>
      <c r="W139" s="3">
        <f t="shared" si="24"/>
        <v>-9.5000000000000001E-2</v>
      </c>
      <c r="Y139" s="3">
        <f t="shared" si="25"/>
        <v>3.0660000000000003</v>
      </c>
      <c r="Z139" s="3">
        <f t="shared" si="26"/>
        <v>1.667</v>
      </c>
      <c r="AA139" s="3">
        <f t="shared" si="27"/>
        <v>4.7330000000000005</v>
      </c>
      <c r="AB139" s="3"/>
      <c r="AC139" s="2" t="str">
        <f t="shared" si="28"/>
        <v>1987-07</v>
      </c>
      <c r="AD139" s="9">
        <f t="shared" si="29"/>
        <v>58.480000000000011</v>
      </c>
      <c r="AE139" s="9">
        <f t="shared" si="30"/>
        <v>22.417000000000002</v>
      </c>
      <c r="AF139" s="9">
        <f t="shared" si="31"/>
        <v>80.897000000000006</v>
      </c>
      <c r="AG139" s="9"/>
      <c r="AH139" s="10">
        <v>31959</v>
      </c>
      <c r="AI139" s="9">
        <f t="shared" si="32"/>
        <v>21.056000000000001</v>
      </c>
      <c r="AJ139" s="9">
        <f t="shared" si="33"/>
        <v>5.2670000000000003</v>
      </c>
      <c r="AK139" s="9">
        <f t="shared" si="34"/>
        <v>33.597000000000008</v>
      </c>
      <c r="AL139" s="9">
        <f t="shared" si="35"/>
        <v>-1.4400000000000004</v>
      </c>
      <c r="AM139" s="12">
        <f t="shared" si="36"/>
        <v>59.841000000000008</v>
      </c>
    </row>
    <row r="140" spans="1:39" x14ac:dyDescent="0.25">
      <c r="A140">
        <v>99996</v>
      </c>
      <c r="B140" t="s">
        <v>125</v>
      </c>
      <c r="C140" s="13">
        <v>112731</v>
      </c>
      <c r="D140" s="13">
        <v>2673</v>
      </c>
      <c r="E140" s="13">
        <v>4426</v>
      </c>
      <c r="F140" s="13">
        <v>24807</v>
      </c>
      <c r="G140" s="13">
        <v>12378</v>
      </c>
      <c r="H140" s="13">
        <v>8801</v>
      </c>
      <c r="J140" s="13">
        <v>111621</v>
      </c>
      <c r="K140" s="13">
        <v>2608</v>
      </c>
      <c r="L140" s="13">
        <v>3089</v>
      </c>
      <c r="M140" s="13">
        <v>24579</v>
      </c>
      <c r="N140" s="13">
        <v>12631</v>
      </c>
      <c r="O140" s="13">
        <v>9199</v>
      </c>
      <c r="Q140" s="3">
        <f t="shared" si="19"/>
        <v>1.1100000000000001</v>
      </c>
      <c r="R140" s="3">
        <f t="shared" si="20"/>
        <v>6.5000000000000002E-2</v>
      </c>
      <c r="S140" s="3">
        <f t="shared" si="21"/>
        <v>1.337</v>
      </c>
      <c r="T140" s="3">
        <f t="shared" si="22"/>
        <v>-0.253</v>
      </c>
      <c r="U140" s="3"/>
      <c r="V140" s="3">
        <f t="shared" si="23"/>
        <v>0.22800000000000001</v>
      </c>
      <c r="W140" s="3">
        <f t="shared" si="24"/>
        <v>-0.39800000000000002</v>
      </c>
      <c r="Y140" s="3">
        <f t="shared" si="25"/>
        <v>2.2589999999999999</v>
      </c>
      <c r="Z140" s="3">
        <f t="shared" si="26"/>
        <v>-0.17</v>
      </c>
      <c r="AA140" s="3">
        <f t="shared" si="27"/>
        <v>2.089</v>
      </c>
      <c r="AB140" s="3"/>
      <c r="AC140" s="2" t="str">
        <f t="shared" si="28"/>
        <v>1987-08</v>
      </c>
      <c r="AD140" s="9">
        <f t="shared" si="29"/>
        <v>55.463000000000015</v>
      </c>
      <c r="AE140" s="9">
        <f t="shared" si="30"/>
        <v>20.954000000000001</v>
      </c>
      <c r="AF140" s="9">
        <f t="shared" si="31"/>
        <v>76.417000000000002</v>
      </c>
      <c r="AG140" s="9"/>
      <c r="AH140" s="10">
        <v>31990</v>
      </c>
      <c r="AI140" s="9">
        <f t="shared" si="32"/>
        <v>22.109000000000002</v>
      </c>
      <c r="AJ140" s="9">
        <f t="shared" si="33"/>
        <v>4.8590000000000009</v>
      </c>
      <c r="AK140" s="9">
        <f t="shared" si="34"/>
        <v>31.250000000000004</v>
      </c>
      <c r="AL140" s="9">
        <f t="shared" si="35"/>
        <v>-2.7550000000000003</v>
      </c>
      <c r="AM140" s="12">
        <f t="shared" si="36"/>
        <v>54.308</v>
      </c>
    </row>
    <row r="141" spans="1:39" x14ac:dyDescent="0.25">
      <c r="A141">
        <v>99996</v>
      </c>
      <c r="B141" t="s">
        <v>126</v>
      </c>
      <c r="C141" s="13">
        <v>109549</v>
      </c>
      <c r="D141" s="13">
        <v>3502</v>
      </c>
      <c r="E141" s="13">
        <v>5160</v>
      </c>
      <c r="F141" s="13">
        <v>22529</v>
      </c>
      <c r="G141" s="13">
        <v>13031</v>
      </c>
      <c r="H141" s="13">
        <v>8829</v>
      </c>
      <c r="J141" s="13">
        <v>109026</v>
      </c>
      <c r="K141" s="13">
        <v>2687</v>
      </c>
      <c r="L141" s="13">
        <v>2242</v>
      </c>
      <c r="M141" s="13">
        <v>19455</v>
      </c>
      <c r="N141" s="13">
        <v>13712</v>
      </c>
      <c r="O141" s="13">
        <v>8349</v>
      </c>
      <c r="Q141" s="3">
        <f t="shared" ref="Q141:Q204" si="37">(C141-J141)/1000</f>
        <v>0.52300000000000002</v>
      </c>
      <c r="R141" s="3">
        <f t="shared" ref="R141:R204" si="38">(D141-K141)/1000</f>
        <v>0.81499999999999995</v>
      </c>
      <c r="S141" s="3">
        <f t="shared" ref="S141:S204" si="39">(E141-L141)/1000</f>
        <v>2.9180000000000001</v>
      </c>
      <c r="T141" s="3">
        <f t="shared" ref="T141:T204" si="40">(G141-N141)/1000</f>
        <v>-0.68100000000000005</v>
      </c>
      <c r="U141" s="3"/>
      <c r="V141" s="3">
        <f t="shared" ref="V141:V204" si="41">(F141-M141)/1000</f>
        <v>3.0739999999999998</v>
      </c>
      <c r="W141" s="3">
        <f t="shared" ref="W141:W204" si="42">(H141-O141)/1000</f>
        <v>0.48</v>
      </c>
      <c r="Y141" s="3">
        <f t="shared" ref="Y141:Y204" si="43">SUM(Q141:T141)</f>
        <v>3.5750000000000002</v>
      </c>
      <c r="Z141" s="3">
        <f t="shared" ref="Z141:Z204" si="44">V141+W141</f>
        <v>3.5539999999999998</v>
      </c>
      <c r="AA141" s="3">
        <f t="shared" ref="AA141:AA204" si="45">SUM(Q141:W141)</f>
        <v>7.1289999999999996</v>
      </c>
      <c r="AB141" s="3"/>
      <c r="AC141" s="2" t="str">
        <f t="shared" si="28"/>
        <v>1987-09</v>
      </c>
      <c r="AD141" s="9">
        <f t="shared" si="29"/>
        <v>52.793000000000006</v>
      </c>
      <c r="AE141" s="9">
        <f t="shared" si="30"/>
        <v>22.727999999999998</v>
      </c>
      <c r="AF141" s="9">
        <f t="shared" si="31"/>
        <v>75.521000000000015</v>
      </c>
      <c r="AG141" s="9"/>
      <c r="AH141" s="10">
        <v>32021</v>
      </c>
      <c r="AI141" s="9">
        <f t="shared" si="32"/>
        <v>18.561</v>
      </c>
      <c r="AJ141" s="9">
        <f t="shared" si="33"/>
        <v>5.3040000000000003</v>
      </c>
      <c r="AK141" s="9">
        <f t="shared" si="34"/>
        <v>29.965000000000003</v>
      </c>
      <c r="AL141" s="9">
        <f t="shared" si="35"/>
        <v>-1.0370000000000001</v>
      </c>
      <c r="AM141" s="12">
        <f t="shared" si="36"/>
        <v>56.960000000000015</v>
      </c>
    </row>
    <row r="142" spans="1:39" x14ac:dyDescent="0.25">
      <c r="A142">
        <v>99996</v>
      </c>
      <c r="B142" t="s">
        <v>127</v>
      </c>
      <c r="C142" s="13">
        <v>127873</v>
      </c>
      <c r="D142" s="13">
        <v>3828</v>
      </c>
      <c r="E142" s="13">
        <v>5330</v>
      </c>
      <c r="F142" s="13">
        <v>30244</v>
      </c>
      <c r="G142" s="13">
        <v>18119</v>
      </c>
      <c r="H142" s="13">
        <v>12994</v>
      </c>
      <c r="J142" s="13">
        <v>129106</v>
      </c>
      <c r="K142" s="13">
        <v>3214</v>
      </c>
      <c r="L142" s="13">
        <v>4071</v>
      </c>
      <c r="M142" s="13">
        <v>27784</v>
      </c>
      <c r="N142" s="13">
        <v>20715</v>
      </c>
      <c r="O142" s="13">
        <v>10906</v>
      </c>
      <c r="Q142" s="3">
        <f t="shared" si="37"/>
        <v>-1.2330000000000001</v>
      </c>
      <c r="R142" s="3">
        <f t="shared" si="38"/>
        <v>0.61399999999999999</v>
      </c>
      <c r="S142" s="3">
        <f t="shared" si="39"/>
        <v>1.2589999999999999</v>
      </c>
      <c r="T142" s="3">
        <f t="shared" si="40"/>
        <v>-2.5960000000000001</v>
      </c>
      <c r="U142" s="3"/>
      <c r="V142" s="3">
        <f t="shared" si="41"/>
        <v>2.46</v>
      </c>
      <c r="W142" s="3">
        <f t="shared" si="42"/>
        <v>2.0880000000000001</v>
      </c>
      <c r="Y142" s="3">
        <f t="shared" si="43"/>
        <v>-1.9560000000000004</v>
      </c>
      <c r="Z142" s="3">
        <f t="shared" si="44"/>
        <v>4.548</v>
      </c>
      <c r="AA142" s="3">
        <f t="shared" si="45"/>
        <v>2.5919999999999996</v>
      </c>
      <c r="AB142" s="3"/>
      <c r="AC142" s="2" t="str">
        <f t="shared" si="28"/>
        <v>1987-10</v>
      </c>
      <c r="AD142" s="9">
        <f t="shared" si="29"/>
        <v>42.652000000000001</v>
      </c>
      <c r="AE142" s="9">
        <f t="shared" si="30"/>
        <v>27.61</v>
      </c>
      <c r="AF142" s="9">
        <f t="shared" si="31"/>
        <v>70.262</v>
      </c>
      <c r="AG142" s="9"/>
      <c r="AH142" s="10">
        <v>32051</v>
      </c>
      <c r="AI142" s="9">
        <f t="shared" si="32"/>
        <v>15.224</v>
      </c>
      <c r="AJ142" s="9">
        <f t="shared" si="33"/>
        <v>5.6310000000000011</v>
      </c>
      <c r="AK142" s="9">
        <f t="shared" si="34"/>
        <v>27.488000000000003</v>
      </c>
      <c r="AL142" s="9">
        <f t="shared" si="35"/>
        <v>-5.6910000000000007</v>
      </c>
      <c r="AM142" s="12">
        <f t="shared" si="36"/>
        <v>55.037999999999997</v>
      </c>
    </row>
    <row r="143" spans="1:39" x14ac:dyDescent="0.25">
      <c r="A143">
        <v>99996</v>
      </c>
      <c r="B143" t="s">
        <v>128</v>
      </c>
      <c r="C143" s="13">
        <v>111189</v>
      </c>
      <c r="D143" s="13">
        <v>2802</v>
      </c>
      <c r="E143" s="13">
        <v>2913</v>
      </c>
      <c r="F143" s="13">
        <v>13627</v>
      </c>
      <c r="G143" s="13">
        <v>17753</v>
      </c>
      <c r="H143" s="13">
        <v>7607</v>
      </c>
      <c r="J143" s="13">
        <v>104809</v>
      </c>
      <c r="K143" s="13">
        <v>2619</v>
      </c>
      <c r="L143" s="13">
        <v>2769</v>
      </c>
      <c r="M143" s="13">
        <v>20325</v>
      </c>
      <c r="N143" s="13">
        <v>19751</v>
      </c>
      <c r="O143" s="13">
        <v>6898</v>
      </c>
      <c r="Q143" s="3">
        <f t="shared" si="37"/>
        <v>6.38</v>
      </c>
      <c r="R143" s="3">
        <f t="shared" si="38"/>
        <v>0.183</v>
      </c>
      <c r="S143" s="3">
        <f t="shared" si="39"/>
        <v>0.14399999999999999</v>
      </c>
      <c r="T143" s="3">
        <f t="shared" si="40"/>
        <v>-1.998</v>
      </c>
      <c r="U143" s="3"/>
      <c r="V143" s="3">
        <f t="shared" si="41"/>
        <v>-6.6980000000000004</v>
      </c>
      <c r="W143" s="3">
        <f t="shared" si="42"/>
        <v>0.70899999999999996</v>
      </c>
      <c r="Y143" s="3">
        <f t="shared" si="43"/>
        <v>4.7089999999999996</v>
      </c>
      <c r="Z143" s="3">
        <f t="shared" si="44"/>
        <v>-5.9890000000000008</v>
      </c>
      <c r="AA143" s="3">
        <f t="shared" si="45"/>
        <v>-1.2800000000000007</v>
      </c>
      <c r="AB143" s="3"/>
      <c r="AC143" s="2" t="str">
        <f t="shared" si="28"/>
        <v>1987-11</v>
      </c>
      <c r="AD143" s="9">
        <f t="shared" si="29"/>
        <v>47.372000000000014</v>
      </c>
      <c r="AE143" s="9">
        <f t="shared" si="30"/>
        <v>21.343</v>
      </c>
      <c r="AF143" s="9">
        <f t="shared" si="31"/>
        <v>68.715000000000003</v>
      </c>
      <c r="AG143" s="9"/>
      <c r="AH143" s="10">
        <v>32082</v>
      </c>
      <c r="AI143" s="9">
        <f t="shared" si="32"/>
        <v>24.025999999999996</v>
      </c>
      <c r="AJ143" s="9">
        <f t="shared" si="33"/>
        <v>4.5079999999999991</v>
      </c>
      <c r="AK143" s="9">
        <f t="shared" si="34"/>
        <v>25.771999999999998</v>
      </c>
      <c r="AL143" s="9">
        <f t="shared" si="35"/>
        <v>-6.9340000000000002</v>
      </c>
      <c r="AM143" s="12">
        <f t="shared" si="36"/>
        <v>44.689000000000007</v>
      </c>
    </row>
    <row r="144" spans="1:39" x14ac:dyDescent="0.25">
      <c r="A144">
        <v>99996</v>
      </c>
      <c r="B144" t="s">
        <v>129</v>
      </c>
      <c r="C144" s="13">
        <v>84420</v>
      </c>
      <c r="D144" s="13">
        <v>3415</v>
      </c>
      <c r="E144" s="13">
        <v>3240</v>
      </c>
      <c r="F144" s="13">
        <v>13627</v>
      </c>
      <c r="G144" s="13">
        <v>12331</v>
      </c>
      <c r="H144" s="13">
        <v>4905</v>
      </c>
      <c r="J144" s="13">
        <v>81913</v>
      </c>
      <c r="K144" s="13">
        <v>2348</v>
      </c>
      <c r="L144" s="13">
        <v>3084</v>
      </c>
      <c r="M144" s="13">
        <v>16630</v>
      </c>
      <c r="N144" s="13">
        <v>13819</v>
      </c>
      <c r="O144" s="13">
        <v>4064</v>
      </c>
      <c r="Q144" s="3">
        <f t="shared" si="37"/>
        <v>2.5070000000000001</v>
      </c>
      <c r="R144" s="3">
        <f t="shared" si="38"/>
        <v>1.0669999999999999</v>
      </c>
      <c r="S144" s="3">
        <f t="shared" si="39"/>
        <v>0.156</v>
      </c>
      <c r="T144" s="3">
        <f t="shared" si="40"/>
        <v>-1.488</v>
      </c>
      <c r="U144" s="3"/>
      <c r="V144" s="3">
        <f t="shared" si="41"/>
        <v>-3.0030000000000001</v>
      </c>
      <c r="W144" s="3">
        <f t="shared" si="42"/>
        <v>0.84099999999999997</v>
      </c>
      <c r="Y144" s="3">
        <f t="shared" si="43"/>
        <v>2.242</v>
      </c>
      <c r="Z144" s="3">
        <f t="shared" si="44"/>
        <v>-2.1619999999999999</v>
      </c>
      <c r="AA144" s="3">
        <f t="shared" si="45"/>
        <v>7.9999999999999849E-2</v>
      </c>
      <c r="AB144" s="3"/>
      <c r="AC144" s="2" t="str">
        <f t="shared" si="28"/>
        <v>1987-12</v>
      </c>
      <c r="AD144" s="9">
        <f t="shared" si="29"/>
        <v>44.902999999999999</v>
      </c>
      <c r="AE144" s="9">
        <f t="shared" si="30"/>
        <v>17.352999999999998</v>
      </c>
      <c r="AF144" s="9">
        <f t="shared" si="31"/>
        <v>62.255999999999993</v>
      </c>
      <c r="AG144" s="9"/>
      <c r="AH144" s="10">
        <v>32112</v>
      </c>
      <c r="AI144" s="9">
        <f t="shared" si="32"/>
        <v>25.585999999999999</v>
      </c>
      <c r="AJ144" s="9">
        <f t="shared" si="33"/>
        <v>5.0459999999999994</v>
      </c>
      <c r="AK144" s="9">
        <f t="shared" si="34"/>
        <v>22.218999999999994</v>
      </c>
      <c r="AL144" s="9">
        <f t="shared" si="35"/>
        <v>-7.9480000000000004</v>
      </c>
      <c r="AM144" s="12">
        <f t="shared" si="36"/>
        <v>36.669999999999995</v>
      </c>
    </row>
    <row r="145" spans="1:39" x14ac:dyDescent="0.25">
      <c r="A145">
        <v>99996</v>
      </c>
      <c r="B145" t="s">
        <v>130</v>
      </c>
      <c r="C145" s="13">
        <v>107482</v>
      </c>
      <c r="D145" s="13">
        <v>2222</v>
      </c>
      <c r="E145" s="13">
        <v>2803</v>
      </c>
      <c r="F145" s="13">
        <v>12929</v>
      </c>
      <c r="G145" s="13">
        <v>12833</v>
      </c>
      <c r="H145" s="13">
        <v>5003</v>
      </c>
      <c r="J145" s="13">
        <v>102837</v>
      </c>
      <c r="K145" s="13">
        <v>2610</v>
      </c>
      <c r="L145" s="13">
        <v>2583</v>
      </c>
      <c r="M145" s="13">
        <v>12904</v>
      </c>
      <c r="N145" s="13">
        <v>14166</v>
      </c>
      <c r="O145" s="13">
        <v>4519</v>
      </c>
      <c r="Q145" s="3">
        <f t="shared" si="37"/>
        <v>4.6449999999999996</v>
      </c>
      <c r="R145" s="3">
        <f t="shared" si="38"/>
        <v>-0.38800000000000001</v>
      </c>
      <c r="S145" s="3">
        <f t="shared" si="39"/>
        <v>0.22</v>
      </c>
      <c r="T145" s="3">
        <f t="shared" si="40"/>
        <v>-1.333</v>
      </c>
      <c r="U145" s="3"/>
      <c r="V145" s="3">
        <f t="shared" si="41"/>
        <v>2.5000000000000001E-2</v>
      </c>
      <c r="W145" s="3">
        <f t="shared" si="42"/>
        <v>0.48399999999999999</v>
      </c>
      <c r="Y145" s="3">
        <f t="shared" si="43"/>
        <v>3.1439999999999992</v>
      </c>
      <c r="Z145" s="3">
        <f t="shared" si="44"/>
        <v>0.50900000000000001</v>
      </c>
      <c r="AA145" s="3">
        <f t="shared" si="45"/>
        <v>3.6529999999999991</v>
      </c>
      <c r="AB145" s="3"/>
      <c r="AC145" s="2" t="str">
        <f t="shared" si="28"/>
        <v>1988-01</v>
      </c>
      <c r="AD145" s="9">
        <f t="shared" si="29"/>
        <v>46.134</v>
      </c>
      <c r="AE145" s="9">
        <f t="shared" si="30"/>
        <v>16.412000000000003</v>
      </c>
      <c r="AF145" s="9">
        <f t="shared" si="31"/>
        <v>62.545999999999992</v>
      </c>
      <c r="AG145" s="9"/>
      <c r="AH145" s="10">
        <v>32143</v>
      </c>
      <c r="AI145" s="9">
        <f t="shared" si="32"/>
        <v>30.681999999999999</v>
      </c>
      <c r="AJ145" s="9">
        <f t="shared" si="33"/>
        <v>4.4339999999999993</v>
      </c>
      <c r="AK145" s="9">
        <f t="shared" si="34"/>
        <v>20.539999999999996</v>
      </c>
      <c r="AL145" s="9">
        <f t="shared" si="35"/>
        <v>-9.522000000000002</v>
      </c>
      <c r="AM145" s="12">
        <f t="shared" si="36"/>
        <v>31.863999999999994</v>
      </c>
    </row>
    <row r="146" spans="1:39" x14ac:dyDescent="0.25">
      <c r="A146">
        <v>99996</v>
      </c>
      <c r="B146" t="s">
        <v>131</v>
      </c>
      <c r="C146" s="13">
        <v>157300</v>
      </c>
      <c r="D146" s="13">
        <v>2692</v>
      </c>
      <c r="E146" s="13">
        <v>3759</v>
      </c>
      <c r="F146" s="13">
        <v>16351</v>
      </c>
      <c r="G146" s="13">
        <v>16005</v>
      </c>
      <c r="H146" s="13">
        <v>5741</v>
      </c>
      <c r="J146" s="13">
        <v>145185</v>
      </c>
      <c r="K146" s="13">
        <v>2759</v>
      </c>
      <c r="L146" s="13">
        <v>3281</v>
      </c>
      <c r="M146" s="13">
        <v>16729</v>
      </c>
      <c r="N146" s="13">
        <v>17312</v>
      </c>
      <c r="O146" s="13">
        <v>6425</v>
      </c>
      <c r="Q146" s="3">
        <f t="shared" si="37"/>
        <v>12.115</v>
      </c>
      <c r="R146" s="3">
        <f t="shared" si="38"/>
        <v>-6.7000000000000004E-2</v>
      </c>
      <c r="S146" s="3">
        <f t="shared" si="39"/>
        <v>0.47799999999999998</v>
      </c>
      <c r="T146" s="3">
        <f t="shared" si="40"/>
        <v>-1.3069999999999999</v>
      </c>
      <c r="U146" s="3"/>
      <c r="V146" s="3">
        <f t="shared" si="41"/>
        <v>-0.378</v>
      </c>
      <c r="W146" s="3">
        <f t="shared" si="42"/>
        <v>-0.68400000000000005</v>
      </c>
      <c r="Y146" s="3">
        <f t="shared" si="43"/>
        <v>11.218999999999999</v>
      </c>
      <c r="Z146" s="3">
        <f t="shared" si="44"/>
        <v>-1.0620000000000001</v>
      </c>
      <c r="AA146" s="3">
        <f t="shared" si="45"/>
        <v>10.157</v>
      </c>
      <c r="AB146" s="3"/>
      <c r="AC146" s="2" t="str">
        <f t="shared" si="28"/>
        <v>1988-02</v>
      </c>
      <c r="AD146" s="9">
        <f t="shared" si="29"/>
        <v>54.865000000000002</v>
      </c>
      <c r="AE146" s="9">
        <f t="shared" si="30"/>
        <v>12.862000000000004</v>
      </c>
      <c r="AF146" s="9">
        <f t="shared" si="31"/>
        <v>67.72699999999999</v>
      </c>
      <c r="AG146" s="9"/>
      <c r="AH146" s="10">
        <v>32174</v>
      </c>
      <c r="AI146" s="9">
        <f t="shared" si="32"/>
        <v>42.648000000000003</v>
      </c>
      <c r="AJ146" s="9">
        <f t="shared" si="33"/>
        <v>3.4089999999999998</v>
      </c>
      <c r="AK146" s="9">
        <f t="shared" si="34"/>
        <v>19.557999999999996</v>
      </c>
      <c r="AL146" s="9">
        <f t="shared" si="35"/>
        <v>-10.750000000000002</v>
      </c>
      <c r="AM146" s="12">
        <f t="shared" si="36"/>
        <v>25.078999999999986</v>
      </c>
    </row>
    <row r="147" spans="1:39" x14ac:dyDescent="0.25">
      <c r="A147">
        <v>99996</v>
      </c>
      <c r="B147" t="s">
        <v>132</v>
      </c>
      <c r="C147" s="13">
        <v>140787</v>
      </c>
      <c r="D147" s="13">
        <v>2904</v>
      </c>
      <c r="E147" s="13">
        <v>4896</v>
      </c>
      <c r="F147" s="13">
        <v>18079</v>
      </c>
      <c r="G147" s="13">
        <v>16587</v>
      </c>
      <c r="H147" s="13">
        <v>6727</v>
      </c>
      <c r="J147" s="13">
        <v>130806</v>
      </c>
      <c r="K147" s="13">
        <v>2306</v>
      </c>
      <c r="L147" s="13">
        <v>3288</v>
      </c>
      <c r="M147" s="13">
        <v>18506</v>
      </c>
      <c r="N147" s="13">
        <v>17831</v>
      </c>
      <c r="O147" s="13">
        <v>7455</v>
      </c>
      <c r="Q147" s="3">
        <f t="shared" si="37"/>
        <v>9.9809999999999999</v>
      </c>
      <c r="R147" s="3">
        <f t="shared" si="38"/>
        <v>0.59799999999999998</v>
      </c>
      <c r="S147" s="3">
        <f t="shared" si="39"/>
        <v>1.6080000000000001</v>
      </c>
      <c r="T147" s="3">
        <f t="shared" si="40"/>
        <v>-1.244</v>
      </c>
      <c r="U147" s="3"/>
      <c r="V147" s="3">
        <f t="shared" si="41"/>
        <v>-0.42699999999999999</v>
      </c>
      <c r="W147" s="3">
        <f t="shared" si="42"/>
        <v>-0.72799999999999998</v>
      </c>
      <c r="Y147" s="3">
        <f t="shared" si="43"/>
        <v>10.943000000000001</v>
      </c>
      <c r="Z147" s="3">
        <f t="shared" si="44"/>
        <v>-1.155</v>
      </c>
      <c r="AA147" s="3">
        <f t="shared" si="45"/>
        <v>9.788000000000002</v>
      </c>
      <c r="AB147" s="3"/>
      <c r="AC147" s="2" t="str">
        <f t="shared" si="28"/>
        <v>1988-03</v>
      </c>
      <c r="AD147" s="9">
        <f t="shared" si="29"/>
        <v>55.635000000000005</v>
      </c>
      <c r="AE147" s="9">
        <f t="shared" si="30"/>
        <v>7.4340000000000002</v>
      </c>
      <c r="AF147" s="9">
        <f t="shared" si="31"/>
        <v>63.068999999999996</v>
      </c>
      <c r="AG147" s="9"/>
      <c r="AH147" s="10">
        <v>32203</v>
      </c>
      <c r="AI147" s="9">
        <f t="shared" si="32"/>
        <v>45.637</v>
      </c>
      <c r="AJ147" s="9">
        <f t="shared" si="33"/>
        <v>4.4749999999999996</v>
      </c>
      <c r="AK147" s="9">
        <f t="shared" si="34"/>
        <v>16.849000000000004</v>
      </c>
      <c r="AL147" s="9">
        <f t="shared" si="35"/>
        <v>-11.326000000000001</v>
      </c>
      <c r="AM147" s="12">
        <f t="shared" si="36"/>
        <v>17.431999999999995</v>
      </c>
    </row>
    <row r="148" spans="1:39" x14ac:dyDescent="0.25">
      <c r="A148">
        <v>99996</v>
      </c>
      <c r="B148" t="s">
        <v>133</v>
      </c>
      <c r="C148" s="13">
        <v>113098</v>
      </c>
      <c r="D148" s="13">
        <v>2396</v>
      </c>
      <c r="E148" s="13">
        <v>3222</v>
      </c>
      <c r="F148" s="13">
        <v>15107</v>
      </c>
      <c r="G148" s="13">
        <v>15617</v>
      </c>
      <c r="H148" s="13">
        <v>5822</v>
      </c>
      <c r="J148" s="13">
        <v>109663</v>
      </c>
      <c r="K148" s="13">
        <v>2263</v>
      </c>
      <c r="L148" s="13">
        <v>2170</v>
      </c>
      <c r="M148" s="13">
        <v>13718</v>
      </c>
      <c r="N148" s="13">
        <v>15741</v>
      </c>
      <c r="O148" s="13">
        <v>5488</v>
      </c>
      <c r="Q148" s="3">
        <f t="shared" si="37"/>
        <v>3.4350000000000001</v>
      </c>
      <c r="R148" s="3">
        <f t="shared" si="38"/>
        <v>0.13300000000000001</v>
      </c>
      <c r="S148" s="3">
        <f t="shared" si="39"/>
        <v>1.052</v>
      </c>
      <c r="T148" s="3">
        <f t="shared" si="40"/>
        <v>-0.124</v>
      </c>
      <c r="U148" s="3"/>
      <c r="V148" s="3">
        <f t="shared" si="41"/>
        <v>1.389</v>
      </c>
      <c r="W148" s="3">
        <f t="shared" si="42"/>
        <v>0.33400000000000002</v>
      </c>
      <c r="Y148" s="3">
        <f t="shared" si="43"/>
        <v>4.4960000000000004</v>
      </c>
      <c r="Z148" s="3">
        <f t="shared" si="44"/>
        <v>1.7230000000000001</v>
      </c>
      <c r="AA148" s="3">
        <f t="shared" si="45"/>
        <v>6.2190000000000003</v>
      </c>
      <c r="AB148" s="3"/>
      <c r="AC148" s="2" t="str">
        <f t="shared" si="28"/>
        <v>1988-04</v>
      </c>
      <c r="AD148" s="9">
        <f t="shared" si="29"/>
        <v>60.818000000000005</v>
      </c>
      <c r="AE148" s="9">
        <f t="shared" si="30"/>
        <v>7.0769999999999982</v>
      </c>
      <c r="AF148" s="9">
        <f t="shared" si="31"/>
        <v>67.894999999999996</v>
      </c>
      <c r="AG148" s="9"/>
      <c r="AH148" s="10">
        <v>32234</v>
      </c>
      <c r="AI148" s="9">
        <f t="shared" si="32"/>
        <v>52.268000000000001</v>
      </c>
      <c r="AJ148" s="9">
        <f t="shared" si="33"/>
        <v>4.5269999999999992</v>
      </c>
      <c r="AK148" s="9">
        <f t="shared" si="34"/>
        <v>14.644000000000002</v>
      </c>
      <c r="AL148" s="9">
        <f t="shared" si="35"/>
        <v>-10.621</v>
      </c>
      <c r="AM148" s="12">
        <f t="shared" si="36"/>
        <v>15.626999999999995</v>
      </c>
    </row>
    <row r="149" spans="1:39" x14ac:dyDescent="0.25">
      <c r="A149">
        <v>99996</v>
      </c>
      <c r="B149" t="s">
        <v>134</v>
      </c>
      <c r="C149" s="13">
        <v>123070</v>
      </c>
      <c r="D149" s="13">
        <v>3293</v>
      </c>
      <c r="E149" s="13">
        <v>4517</v>
      </c>
      <c r="F149" s="13">
        <v>13668</v>
      </c>
      <c r="G149" s="13">
        <v>15163</v>
      </c>
      <c r="H149" s="13">
        <v>5986</v>
      </c>
      <c r="J149" s="13">
        <v>112008</v>
      </c>
      <c r="K149" s="13">
        <v>2015</v>
      </c>
      <c r="L149" s="13">
        <v>1685</v>
      </c>
      <c r="M149" s="13">
        <v>14746</v>
      </c>
      <c r="N149" s="13">
        <v>14373</v>
      </c>
      <c r="O149" s="13">
        <v>5133</v>
      </c>
      <c r="Q149" s="3">
        <f t="shared" si="37"/>
        <v>11.061999999999999</v>
      </c>
      <c r="R149" s="3">
        <f t="shared" si="38"/>
        <v>1.278</v>
      </c>
      <c r="S149" s="3">
        <f t="shared" si="39"/>
        <v>2.8319999999999999</v>
      </c>
      <c r="T149" s="3">
        <f t="shared" si="40"/>
        <v>0.79</v>
      </c>
      <c r="U149" s="3"/>
      <c r="V149" s="3">
        <f t="shared" si="41"/>
        <v>-1.0780000000000001</v>
      </c>
      <c r="W149" s="3">
        <f t="shared" si="42"/>
        <v>0.85299999999999998</v>
      </c>
      <c r="Y149" s="3">
        <f t="shared" si="43"/>
        <v>15.962</v>
      </c>
      <c r="Z149" s="3">
        <f t="shared" si="44"/>
        <v>-0.22500000000000009</v>
      </c>
      <c r="AA149" s="3">
        <f t="shared" si="45"/>
        <v>15.737</v>
      </c>
      <c r="AB149" s="3"/>
      <c r="AC149" s="2" t="str">
        <f t="shared" si="28"/>
        <v>1988-05</v>
      </c>
      <c r="AD149" s="9">
        <f t="shared" si="29"/>
        <v>76.305000000000007</v>
      </c>
      <c r="AE149" s="9">
        <f t="shared" si="30"/>
        <v>2.5670000000000002</v>
      </c>
      <c r="AF149" s="9">
        <f t="shared" si="31"/>
        <v>78.872</v>
      </c>
      <c r="AG149" s="9"/>
      <c r="AH149" s="10">
        <v>32264</v>
      </c>
      <c r="AI149" s="9">
        <f t="shared" si="32"/>
        <v>63.614000000000004</v>
      </c>
      <c r="AJ149" s="9">
        <f t="shared" si="33"/>
        <v>5.4439999999999991</v>
      </c>
      <c r="AK149" s="9">
        <f t="shared" si="34"/>
        <v>15.847000000000001</v>
      </c>
      <c r="AL149" s="9">
        <f t="shared" si="35"/>
        <v>-8.6000000000000014</v>
      </c>
      <c r="AM149" s="12">
        <f t="shared" si="36"/>
        <v>15.257999999999996</v>
      </c>
    </row>
    <row r="150" spans="1:39" x14ac:dyDescent="0.25">
      <c r="A150">
        <v>99996</v>
      </c>
      <c r="B150" t="s">
        <v>135</v>
      </c>
      <c r="C150" s="13">
        <v>180215</v>
      </c>
      <c r="D150" s="13">
        <v>2939</v>
      </c>
      <c r="E150" s="13">
        <v>5402</v>
      </c>
      <c r="F150" s="13">
        <v>20024</v>
      </c>
      <c r="G150" s="13">
        <v>17137</v>
      </c>
      <c r="H150" s="13">
        <v>6436</v>
      </c>
      <c r="J150" s="13">
        <v>182377</v>
      </c>
      <c r="K150" s="13">
        <v>1699</v>
      </c>
      <c r="L150" s="13">
        <v>2891</v>
      </c>
      <c r="M150" s="13">
        <v>19692</v>
      </c>
      <c r="N150" s="13">
        <v>17809</v>
      </c>
      <c r="O150" s="13">
        <v>6623</v>
      </c>
      <c r="Q150" s="3">
        <f t="shared" si="37"/>
        <v>-2.1619999999999999</v>
      </c>
      <c r="R150" s="3">
        <f t="shared" si="38"/>
        <v>1.24</v>
      </c>
      <c r="S150" s="3">
        <f t="shared" si="39"/>
        <v>2.5110000000000001</v>
      </c>
      <c r="T150" s="3">
        <f t="shared" si="40"/>
        <v>-0.67200000000000004</v>
      </c>
      <c r="U150" s="3"/>
      <c r="V150" s="3">
        <f t="shared" si="41"/>
        <v>0.33200000000000002</v>
      </c>
      <c r="W150" s="3">
        <f t="shared" si="42"/>
        <v>-0.187</v>
      </c>
      <c r="Y150" s="3">
        <f t="shared" si="43"/>
        <v>0.91700000000000015</v>
      </c>
      <c r="Z150" s="3">
        <f t="shared" si="44"/>
        <v>0.14500000000000002</v>
      </c>
      <c r="AA150" s="3">
        <f t="shared" si="45"/>
        <v>1.0620000000000001</v>
      </c>
      <c r="AB150" s="3"/>
      <c r="AC150" s="2" t="str">
        <f t="shared" si="28"/>
        <v>1988-06</v>
      </c>
      <c r="AD150" s="9">
        <f t="shared" si="29"/>
        <v>60.575999999999993</v>
      </c>
      <c r="AE150" s="9">
        <f t="shared" si="30"/>
        <v>1.3829999999999993</v>
      </c>
      <c r="AF150" s="9">
        <f t="shared" si="31"/>
        <v>61.959000000000003</v>
      </c>
      <c r="AG150" s="9"/>
      <c r="AH150" s="10">
        <v>32295</v>
      </c>
      <c r="AI150" s="9">
        <f t="shared" si="32"/>
        <v>49.170999999999999</v>
      </c>
      <c r="AJ150" s="9">
        <f t="shared" si="33"/>
        <v>6.0990000000000002</v>
      </c>
      <c r="AK150" s="9">
        <f t="shared" si="34"/>
        <v>16.827999999999999</v>
      </c>
      <c r="AL150" s="9">
        <f t="shared" si="35"/>
        <v>-11.522000000000002</v>
      </c>
      <c r="AM150" s="12">
        <f t="shared" si="36"/>
        <v>12.788000000000004</v>
      </c>
    </row>
    <row r="151" spans="1:39" x14ac:dyDescent="0.25">
      <c r="A151">
        <v>99996</v>
      </c>
      <c r="B151" t="s">
        <v>136</v>
      </c>
      <c r="C151" s="13">
        <v>114619</v>
      </c>
      <c r="D151" s="13">
        <v>2368</v>
      </c>
      <c r="E151" s="13">
        <v>5909</v>
      </c>
      <c r="F151" s="13">
        <v>19214</v>
      </c>
      <c r="G151" s="13">
        <v>19562</v>
      </c>
      <c r="H151" s="13">
        <v>7148</v>
      </c>
      <c r="J151" s="13">
        <v>113703</v>
      </c>
      <c r="K151" s="13">
        <v>2204</v>
      </c>
      <c r="L151" s="13">
        <v>2860</v>
      </c>
      <c r="M151" s="13">
        <v>18389</v>
      </c>
      <c r="N151" s="13">
        <v>20088</v>
      </c>
      <c r="O151" s="13">
        <v>7281</v>
      </c>
      <c r="Q151" s="3">
        <f t="shared" si="37"/>
        <v>0.91600000000000004</v>
      </c>
      <c r="R151" s="3">
        <f t="shared" si="38"/>
        <v>0.16400000000000001</v>
      </c>
      <c r="S151" s="3">
        <f t="shared" si="39"/>
        <v>3.0489999999999999</v>
      </c>
      <c r="T151" s="3">
        <f t="shared" si="40"/>
        <v>-0.52600000000000002</v>
      </c>
      <c r="U151" s="3"/>
      <c r="V151" s="3">
        <f t="shared" si="41"/>
        <v>0.82499999999999996</v>
      </c>
      <c r="W151" s="3">
        <f t="shared" si="42"/>
        <v>-0.13300000000000001</v>
      </c>
      <c r="Y151" s="3">
        <f t="shared" si="43"/>
        <v>3.6029999999999998</v>
      </c>
      <c r="Z151" s="3">
        <f t="shared" si="44"/>
        <v>0.69199999999999995</v>
      </c>
      <c r="AA151" s="3">
        <f t="shared" si="45"/>
        <v>4.2949999999999999</v>
      </c>
      <c r="AB151" s="3"/>
      <c r="AC151" s="2" t="str">
        <f t="shared" si="28"/>
        <v>1988-07</v>
      </c>
      <c r="AD151" s="9">
        <f t="shared" si="29"/>
        <v>61.113000000000007</v>
      </c>
      <c r="AE151" s="9">
        <f t="shared" si="30"/>
        <v>0.40799999999999947</v>
      </c>
      <c r="AF151" s="9">
        <f t="shared" si="31"/>
        <v>61.521000000000001</v>
      </c>
      <c r="AG151" s="9"/>
      <c r="AH151" s="10">
        <v>32325</v>
      </c>
      <c r="AI151" s="9">
        <f t="shared" si="32"/>
        <v>49.278999999999996</v>
      </c>
      <c r="AJ151" s="9">
        <f t="shared" si="33"/>
        <v>5.702</v>
      </c>
      <c r="AK151" s="9">
        <f t="shared" si="34"/>
        <v>17.563999999999997</v>
      </c>
      <c r="AL151" s="9">
        <f t="shared" si="35"/>
        <v>-11.432000000000002</v>
      </c>
      <c r="AM151" s="12">
        <f t="shared" si="36"/>
        <v>12.242000000000004</v>
      </c>
    </row>
    <row r="152" spans="1:39" x14ac:dyDescent="0.25">
      <c r="A152">
        <v>99996</v>
      </c>
      <c r="B152" t="s">
        <v>137</v>
      </c>
      <c r="C152" s="13">
        <v>137844</v>
      </c>
      <c r="D152" s="13">
        <v>1457</v>
      </c>
      <c r="E152" s="13">
        <v>4509</v>
      </c>
      <c r="F152" s="13">
        <v>17373</v>
      </c>
      <c r="G152" s="13">
        <v>17253</v>
      </c>
      <c r="H152" s="13">
        <v>6026</v>
      </c>
      <c r="J152" s="13">
        <v>138222</v>
      </c>
      <c r="K152" s="13">
        <v>1230</v>
      </c>
      <c r="L152" s="13">
        <v>2964</v>
      </c>
      <c r="M152" s="13">
        <v>16712</v>
      </c>
      <c r="N152" s="13">
        <v>17705</v>
      </c>
      <c r="O152" s="13">
        <v>6231</v>
      </c>
      <c r="Q152" s="3">
        <f t="shared" si="37"/>
        <v>-0.378</v>
      </c>
      <c r="R152" s="3">
        <f t="shared" si="38"/>
        <v>0.22700000000000001</v>
      </c>
      <c r="S152" s="3">
        <f t="shared" si="39"/>
        <v>1.5449999999999999</v>
      </c>
      <c r="T152" s="3">
        <f t="shared" si="40"/>
        <v>-0.45200000000000001</v>
      </c>
      <c r="U152" s="3"/>
      <c r="V152" s="3">
        <f t="shared" si="41"/>
        <v>0.66100000000000003</v>
      </c>
      <c r="W152" s="3">
        <f t="shared" si="42"/>
        <v>-0.20499999999999999</v>
      </c>
      <c r="Y152" s="3">
        <f t="shared" si="43"/>
        <v>0.94199999999999995</v>
      </c>
      <c r="Z152" s="3">
        <f t="shared" si="44"/>
        <v>0.45600000000000007</v>
      </c>
      <c r="AA152" s="3">
        <f t="shared" si="45"/>
        <v>1.3979999999999999</v>
      </c>
      <c r="AB152" s="3"/>
      <c r="AC152" s="2" t="str">
        <f t="shared" ref="AC152:AC215" si="46">B152</f>
        <v>1988-08</v>
      </c>
      <c r="AD152" s="9">
        <f t="shared" ref="AD152:AD215" si="47">SUM(Y141:Y152)</f>
        <v>59.796000000000006</v>
      </c>
      <c r="AE152" s="9">
        <f t="shared" ref="AE152:AE215" si="48">SUM(Z141:Z152)</f>
        <v>1.0339999999999994</v>
      </c>
      <c r="AF152" s="9">
        <f t="shared" ref="AF152:AF215" si="49">SUM(AA141:AA152)</f>
        <v>60.830000000000005</v>
      </c>
      <c r="AG152" s="9"/>
      <c r="AH152" s="10">
        <v>32356</v>
      </c>
      <c r="AI152" s="9">
        <f t="shared" ref="AI152:AI215" si="50">SUM(Q141:Q152)</f>
        <v>47.790999999999997</v>
      </c>
      <c r="AJ152" s="9">
        <f t="shared" ref="AJ152:AJ215" si="51">SUM(R141:R152)</f>
        <v>5.8639999999999999</v>
      </c>
      <c r="AK152" s="9">
        <f t="shared" ref="AK152:AK215" si="52">SUM(S141:S152)</f>
        <v>17.771999999999998</v>
      </c>
      <c r="AL152" s="9">
        <f t="shared" ref="AL152:AL215" si="53">SUM(T141:T152)</f>
        <v>-11.631000000000002</v>
      </c>
      <c r="AM152" s="12">
        <f t="shared" ref="AM152:AM215" si="54">AF152-AI152</f>
        <v>13.039000000000009</v>
      </c>
    </row>
    <row r="153" spans="1:39" x14ac:dyDescent="0.25">
      <c r="A153">
        <v>99996</v>
      </c>
      <c r="B153" t="s">
        <v>138</v>
      </c>
      <c r="C153" s="13">
        <v>124508</v>
      </c>
      <c r="D153" s="13">
        <v>3028</v>
      </c>
      <c r="E153" s="13">
        <v>4422</v>
      </c>
      <c r="F153" s="13">
        <v>11979</v>
      </c>
      <c r="G153" s="13">
        <v>25451</v>
      </c>
      <c r="H153" s="13">
        <v>5114</v>
      </c>
      <c r="J153" s="13">
        <v>126442</v>
      </c>
      <c r="K153" s="13">
        <v>1957</v>
      </c>
      <c r="L153" s="13">
        <v>3626</v>
      </c>
      <c r="M153" s="13">
        <v>12571</v>
      </c>
      <c r="N153" s="13">
        <v>25931</v>
      </c>
      <c r="O153" s="13">
        <v>5189</v>
      </c>
      <c r="Q153" s="3">
        <f t="shared" si="37"/>
        <v>-1.9339999999999999</v>
      </c>
      <c r="R153" s="3">
        <f t="shared" si="38"/>
        <v>1.071</v>
      </c>
      <c r="S153" s="3">
        <f t="shared" si="39"/>
        <v>0.79600000000000004</v>
      </c>
      <c r="T153" s="3">
        <f t="shared" si="40"/>
        <v>-0.48</v>
      </c>
      <c r="U153" s="3"/>
      <c r="V153" s="3">
        <f t="shared" si="41"/>
        <v>-0.59199999999999997</v>
      </c>
      <c r="W153" s="3">
        <f t="shared" si="42"/>
        <v>-7.4999999999999997E-2</v>
      </c>
      <c r="Y153" s="3">
        <f t="shared" si="43"/>
        <v>-0.54699999999999993</v>
      </c>
      <c r="Z153" s="3">
        <f t="shared" si="44"/>
        <v>-0.66699999999999993</v>
      </c>
      <c r="AA153" s="3">
        <f t="shared" si="45"/>
        <v>-1.2139999999999997</v>
      </c>
      <c r="AB153" s="3"/>
      <c r="AC153" s="2" t="str">
        <f t="shared" si="46"/>
        <v>1988-09</v>
      </c>
      <c r="AD153" s="9">
        <f t="shared" si="47"/>
        <v>55.674000000000007</v>
      </c>
      <c r="AE153" s="9">
        <f t="shared" si="48"/>
        <v>-3.1870000000000007</v>
      </c>
      <c r="AF153" s="9">
        <f t="shared" si="49"/>
        <v>52.487000000000009</v>
      </c>
      <c r="AG153" s="9"/>
      <c r="AH153" s="10">
        <v>32387</v>
      </c>
      <c r="AI153" s="9">
        <f t="shared" si="50"/>
        <v>45.334000000000003</v>
      </c>
      <c r="AJ153" s="9">
        <f t="shared" si="51"/>
        <v>6.12</v>
      </c>
      <c r="AK153" s="9">
        <f t="shared" si="52"/>
        <v>15.649999999999999</v>
      </c>
      <c r="AL153" s="9">
        <f t="shared" si="53"/>
        <v>-11.430000000000001</v>
      </c>
      <c r="AM153" s="12">
        <f t="shared" si="54"/>
        <v>7.1530000000000058</v>
      </c>
    </row>
    <row r="154" spans="1:39" x14ac:dyDescent="0.25">
      <c r="A154">
        <v>99996</v>
      </c>
      <c r="B154" t="s">
        <v>139</v>
      </c>
      <c r="C154" s="13">
        <v>133482</v>
      </c>
      <c r="D154" s="13">
        <v>2792</v>
      </c>
      <c r="E154" s="13">
        <v>4760</v>
      </c>
      <c r="F154" s="13">
        <v>13239</v>
      </c>
      <c r="G154" s="13">
        <v>20619</v>
      </c>
      <c r="H154" s="13">
        <v>6113</v>
      </c>
      <c r="J154" s="13">
        <v>131288</v>
      </c>
      <c r="K154" s="13">
        <v>2044</v>
      </c>
      <c r="L154" s="13">
        <v>2724</v>
      </c>
      <c r="M154" s="13">
        <v>14859</v>
      </c>
      <c r="N154" s="13">
        <v>21559</v>
      </c>
      <c r="O154" s="13">
        <v>6357</v>
      </c>
      <c r="Q154" s="3">
        <f t="shared" si="37"/>
        <v>2.194</v>
      </c>
      <c r="R154" s="3">
        <f t="shared" si="38"/>
        <v>0.748</v>
      </c>
      <c r="S154" s="3">
        <f t="shared" si="39"/>
        <v>2.036</v>
      </c>
      <c r="T154" s="3">
        <f t="shared" si="40"/>
        <v>-0.94</v>
      </c>
      <c r="U154" s="3"/>
      <c r="V154" s="3">
        <f t="shared" si="41"/>
        <v>-1.62</v>
      </c>
      <c r="W154" s="3">
        <f t="shared" si="42"/>
        <v>-0.24399999999999999</v>
      </c>
      <c r="Y154" s="3">
        <f t="shared" si="43"/>
        <v>4.0380000000000003</v>
      </c>
      <c r="Z154" s="3">
        <f t="shared" si="44"/>
        <v>-1.8640000000000001</v>
      </c>
      <c r="AA154" s="3">
        <f t="shared" si="45"/>
        <v>2.1740000000000004</v>
      </c>
      <c r="AB154" s="3"/>
      <c r="AC154" s="2" t="str">
        <f t="shared" si="46"/>
        <v>1988-10</v>
      </c>
      <c r="AD154" s="9">
        <f t="shared" si="47"/>
        <v>61.668000000000006</v>
      </c>
      <c r="AE154" s="9">
        <f t="shared" si="48"/>
        <v>-9.5989999999999966</v>
      </c>
      <c r="AF154" s="9">
        <f t="shared" si="49"/>
        <v>52.06900000000001</v>
      </c>
      <c r="AG154" s="9"/>
      <c r="AH154" s="10">
        <v>32417</v>
      </c>
      <c r="AI154" s="9">
        <f t="shared" si="50"/>
        <v>48.761000000000003</v>
      </c>
      <c r="AJ154" s="9">
        <f t="shared" si="51"/>
        <v>6.2539999999999996</v>
      </c>
      <c r="AK154" s="9">
        <f t="shared" si="52"/>
        <v>16.427</v>
      </c>
      <c r="AL154" s="9">
        <f t="shared" si="53"/>
        <v>-9.7739999999999991</v>
      </c>
      <c r="AM154" s="12">
        <f t="shared" si="54"/>
        <v>3.3080000000000069</v>
      </c>
    </row>
    <row r="155" spans="1:39" x14ac:dyDescent="0.25">
      <c r="A155">
        <v>99996</v>
      </c>
      <c r="B155" t="s">
        <v>140</v>
      </c>
      <c r="C155" s="13">
        <v>133022</v>
      </c>
      <c r="D155" s="13">
        <v>2485</v>
      </c>
      <c r="E155" s="13">
        <v>5165</v>
      </c>
      <c r="F155" s="13">
        <v>11983</v>
      </c>
      <c r="G155" s="13">
        <v>21615</v>
      </c>
      <c r="H155" s="13">
        <v>7755</v>
      </c>
      <c r="J155" s="13">
        <v>124374</v>
      </c>
      <c r="K155" s="13">
        <v>1976</v>
      </c>
      <c r="L155" s="13">
        <v>2819</v>
      </c>
      <c r="M155" s="13">
        <v>11875</v>
      </c>
      <c r="N155" s="13">
        <v>20988</v>
      </c>
      <c r="O155" s="13">
        <v>8015</v>
      </c>
      <c r="Q155" s="3">
        <f t="shared" si="37"/>
        <v>8.6479999999999997</v>
      </c>
      <c r="R155" s="3">
        <f t="shared" si="38"/>
        <v>0.50900000000000001</v>
      </c>
      <c r="S155" s="3">
        <f t="shared" si="39"/>
        <v>2.3460000000000001</v>
      </c>
      <c r="T155" s="3">
        <f t="shared" si="40"/>
        <v>0.627</v>
      </c>
      <c r="U155" s="3"/>
      <c r="V155" s="3">
        <f t="shared" si="41"/>
        <v>0.108</v>
      </c>
      <c r="W155" s="3">
        <f t="shared" si="42"/>
        <v>-0.26</v>
      </c>
      <c r="Y155" s="3">
        <f t="shared" si="43"/>
        <v>12.13</v>
      </c>
      <c r="Z155" s="3">
        <f t="shared" si="44"/>
        <v>-0.15200000000000002</v>
      </c>
      <c r="AA155" s="3">
        <f t="shared" si="45"/>
        <v>11.978000000000002</v>
      </c>
      <c r="AB155" s="3"/>
      <c r="AC155" s="2" t="str">
        <f t="shared" si="46"/>
        <v>1988-11</v>
      </c>
      <c r="AD155" s="9">
        <f t="shared" si="47"/>
        <v>69.088999999999999</v>
      </c>
      <c r="AE155" s="9">
        <f t="shared" si="48"/>
        <v>-3.7620000000000005</v>
      </c>
      <c r="AF155" s="9">
        <f t="shared" si="49"/>
        <v>65.326999999999998</v>
      </c>
      <c r="AG155" s="9"/>
      <c r="AH155" s="10">
        <v>32448</v>
      </c>
      <c r="AI155" s="9">
        <f t="shared" si="50"/>
        <v>51.028999999999996</v>
      </c>
      <c r="AJ155" s="9">
        <f t="shared" si="51"/>
        <v>6.58</v>
      </c>
      <c r="AK155" s="9">
        <f t="shared" si="52"/>
        <v>18.628999999999998</v>
      </c>
      <c r="AL155" s="9">
        <f t="shared" si="53"/>
        <v>-7.1489999999999982</v>
      </c>
      <c r="AM155" s="12">
        <f t="shared" si="54"/>
        <v>14.298000000000002</v>
      </c>
    </row>
    <row r="156" spans="1:39" x14ac:dyDescent="0.25">
      <c r="A156">
        <v>99996</v>
      </c>
      <c r="B156" t="s">
        <v>141</v>
      </c>
      <c r="C156" s="13">
        <v>94950</v>
      </c>
      <c r="D156" s="13">
        <v>2834</v>
      </c>
      <c r="E156" s="13">
        <v>5606</v>
      </c>
      <c r="F156" s="13">
        <v>11238</v>
      </c>
      <c r="G156" s="13">
        <v>20680</v>
      </c>
      <c r="H156" s="13">
        <v>7486</v>
      </c>
      <c r="J156" s="13">
        <v>94638</v>
      </c>
      <c r="K156" s="13">
        <v>1610</v>
      </c>
      <c r="L156" s="13">
        <v>2853</v>
      </c>
      <c r="M156" s="13">
        <v>12485</v>
      </c>
      <c r="N156" s="13">
        <v>22452</v>
      </c>
      <c r="O156" s="13">
        <v>8600</v>
      </c>
      <c r="Q156" s="3">
        <f t="shared" si="37"/>
        <v>0.312</v>
      </c>
      <c r="R156" s="3">
        <f t="shared" si="38"/>
        <v>1.224</v>
      </c>
      <c r="S156" s="3">
        <f t="shared" si="39"/>
        <v>2.7530000000000001</v>
      </c>
      <c r="T156" s="3">
        <f t="shared" si="40"/>
        <v>-1.772</v>
      </c>
      <c r="U156" s="3"/>
      <c r="V156" s="3">
        <f t="shared" si="41"/>
        <v>-1.2470000000000001</v>
      </c>
      <c r="W156" s="3">
        <f t="shared" si="42"/>
        <v>-1.1140000000000001</v>
      </c>
      <c r="Y156" s="3">
        <f t="shared" si="43"/>
        <v>2.5169999999999995</v>
      </c>
      <c r="Z156" s="3">
        <f t="shared" si="44"/>
        <v>-2.3610000000000002</v>
      </c>
      <c r="AA156" s="3">
        <f t="shared" si="45"/>
        <v>0.15599999999999925</v>
      </c>
      <c r="AB156" s="3"/>
      <c r="AC156" s="2" t="str">
        <f t="shared" si="46"/>
        <v>1988-12</v>
      </c>
      <c r="AD156" s="9">
        <f t="shared" si="47"/>
        <v>69.36399999999999</v>
      </c>
      <c r="AE156" s="9">
        <f t="shared" si="48"/>
        <v>-3.9610000000000007</v>
      </c>
      <c r="AF156" s="9">
        <f t="shared" si="49"/>
        <v>65.40300000000002</v>
      </c>
      <c r="AG156" s="9"/>
      <c r="AH156" s="10">
        <v>32478</v>
      </c>
      <c r="AI156" s="9">
        <f t="shared" si="50"/>
        <v>48.834000000000003</v>
      </c>
      <c r="AJ156" s="9">
        <f t="shared" si="51"/>
        <v>6.737000000000001</v>
      </c>
      <c r="AK156" s="9">
        <f t="shared" si="52"/>
        <v>21.225999999999999</v>
      </c>
      <c r="AL156" s="9">
        <f t="shared" si="53"/>
        <v>-7.4329999999999989</v>
      </c>
      <c r="AM156" s="12">
        <f t="shared" si="54"/>
        <v>16.569000000000017</v>
      </c>
    </row>
    <row r="157" spans="1:39" x14ac:dyDescent="0.25">
      <c r="A157">
        <v>99996</v>
      </c>
      <c r="B157" t="s">
        <v>142</v>
      </c>
      <c r="C157" s="13">
        <v>140192</v>
      </c>
      <c r="D157" s="13">
        <v>2959</v>
      </c>
      <c r="E157" s="13">
        <v>3185</v>
      </c>
      <c r="F157" s="13">
        <v>11963</v>
      </c>
      <c r="G157" s="13">
        <v>14994</v>
      </c>
      <c r="H157" s="13">
        <v>7430</v>
      </c>
      <c r="J157" s="13">
        <v>137346</v>
      </c>
      <c r="K157" s="13">
        <v>1756</v>
      </c>
      <c r="L157" s="13">
        <v>3102</v>
      </c>
      <c r="M157" s="13">
        <v>11893</v>
      </c>
      <c r="N157" s="13">
        <v>15384</v>
      </c>
      <c r="O157" s="13">
        <v>8163</v>
      </c>
      <c r="Q157" s="3">
        <f t="shared" si="37"/>
        <v>2.8460000000000001</v>
      </c>
      <c r="R157" s="3">
        <f t="shared" si="38"/>
        <v>1.2030000000000001</v>
      </c>
      <c r="S157" s="3">
        <f t="shared" si="39"/>
        <v>8.3000000000000004E-2</v>
      </c>
      <c r="T157" s="3">
        <f t="shared" si="40"/>
        <v>-0.39</v>
      </c>
      <c r="U157" s="3"/>
      <c r="V157" s="3">
        <f t="shared" si="41"/>
        <v>7.0000000000000007E-2</v>
      </c>
      <c r="W157" s="3">
        <f t="shared" si="42"/>
        <v>-0.73299999999999998</v>
      </c>
      <c r="Y157" s="3">
        <f t="shared" si="43"/>
        <v>3.7420000000000004</v>
      </c>
      <c r="Z157" s="3">
        <f t="shared" si="44"/>
        <v>-0.66300000000000003</v>
      </c>
      <c r="AA157" s="3">
        <f t="shared" si="45"/>
        <v>3.0790000000000002</v>
      </c>
      <c r="AB157" s="3"/>
      <c r="AC157" s="2" t="str">
        <f t="shared" si="46"/>
        <v>1989-01</v>
      </c>
      <c r="AD157" s="9">
        <f t="shared" si="47"/>
        <v>69.962000000000018</v>
      </c>
      <c r="AE157" s="9">
        <f t="shared" si="48"/>
        <v>-5.1330000000000009</v>
      </c>
      <c r="AF157" s="9">
        <f t="shared" si="49"/>
        <v>64.829000000000008</v>
      </c>
      <c r="AG157" s="9"/>
      <c r="AH157" s="10">
        <v>32509</v>
      </c>
      <c r="AI157" s="9">
        <f t="shared" si="50"/>
        <v>47.034999999999997</v>
      </c>
      <c r="AJ157" s="9">
        <f t="shared" si="51"/>
        <v>8.3280000000000012</v>
      </c>
      <c r="AK157" s="9">
        <f t="shared" si="52"/>
        <v>21.088999999999999</v>
      </c>
      <c r="AL157" s="9">
        <f t="shared" si="53"/>
        <v>-6.49</v>
      </c>
      <c r="AM157" s="12">
        <f t="shared" si="54"/>
        <v>17.794000000000011</v>
      </c>
    </row>
    <row r="158" spans="1:39" x14ac:dyDescent="0.25">
      <c r="A158">
        <v>99996</v>
      </c>
      <c r="B158" t="s">
        <v>143</v>
      </c>
      <c r="C158" s="13">
        <v>152710</v>
      </c>
      <c r="D158" s="13">
        <v>3797</v>
      </c>
      <c r="E158" s="13">
        <v>5812</v>
      </c>
      <c r="F158" s="13">
        <v>18486</v>
      </c>
      <c r="G158" s="13">
        <v>18739</v>
      </c>
      <c r="H158" s="13">
        <v>8725</v>
      </c>
      <c r="J158" s="13">
        <v>143714</v>
      </c>
      <c r="K158" s="13">
        <v>1899</v>
      </c>
      <c r="L158" s="13">
        <v>2915</v>
      </c>
      <c r="M158" s="13">
        <v>18536</v>
      </c>
      <c r="N158" s="13">
        <v>19173</v>
      </c>
      <c r="O158" s="13">
        <v>8843</v>
      </c>
      <c r="Q158" s="3">
        <f t="shared" si="37"/>
        <v>8.9960000000000004</v>
      </c>
      <c r="R158" s="3">
        <f t="shared" si="38"/>
        <v>1.8979999999999999</v>
      </c>
      <c r="S158" s="3">
        <f t="shared" si="39"/>
        <v>2.8969999999999998</v>
      </c>
      <c r="T158" s="3">
        <f t="shared" si="40"/>
        <v>-0.434</v>
      </c>
      <c r="U158" s="3"/>
      <c r="V158" s="3">
        <f t="shared" si="41"/>
        <v>-0.05</v>
      </c>
      <c r="W158" s="3">
        <f t="shared" si="42"/>
        <v>-0.11799999999999999</v>
      </c>
      <c r="Y158" s="3">
        <f t="shared" si="43"/>
        <v>13.357000000000001</v>
      </c>
      <c r="Z158" s="3">
        <f t="shared" si="44"/>
        <v>-0.16799999999999998</v>
      </c>
      <c r="AA158" s="3">
        <f t="shared" si="45"/>
        <v>13.189</v>
      </c>
      <c r="AB158" s="3"/>
      <c r="AC158" s="2" t="str">
        <f t="shared" si="46"/>
        <v>1989-02</v>
      </c>
      <c r="AD158" s="9">
        <f t="shared" si="47"/>
        <v>72.100000000000023</v>
      </c>
      <c r="AE158" s="9">
        <f t="shared" si="48"/>
        <v>-4.2390000000000008</v>
      </c>
      <c r="AF158" s="9">
        <f t="shared" si="49"/>
        <v>67.861000000000004</v>
      </c>
      <c r="AG158" s="9"/>
      <c r="AH158" s="10">
        <v>32540</v>
      </c>
      <c r="AI158" s="9">
        <f t="shared" si="50"/>
        <v>43.916000000000004</v>
      </c>
      <c r="AJ158" s="9">
        <f t="shared" si="51"/>
        <v>10.292999999999999</v>
      </c>
      <c r="AK158" s="9">
        <f t="shared" si="52"/>
        <v>23.507999999999996</v>
      </c>
      <c r="AL158" s="9">
        <f t="shared" si="53"/>
        <v>-5.617</v>
      </c>
      <c r="AM158" s="12">
        <f t="shared" si="54"/>
        <v>23.945</v>
      </c>
    </row>
    <row r="159" spans="1:39" x14ac:dyDescent="0.25">
      <c r="A159">
        <v>99996</v>
      </c>
      <c r="B159" t="s">
        <v>144</v>
      </c>
      <c r="C159" s="13">
        <v>149788</v>
      </c>
      <c r="D159" s="13">
        <v>4450</v>
      </c>
      <c r="E159" s="13">
        <v>6002</v>
      </c>
      <c r="F159" s="13">
        <v>15881</v>
      </c>
      <c r="G159" s="13">
        <v>23527</v>
      </c>
      <c r="H159" s="13">
        <v>9538</v>
      </c>
      <c r="J159" s="13">
        <v>141143</v>
      </c>
      <c r="K159" s="13">
        <v>3515</v>
      </c>
      <c r="L159" s="13">
        <v>3608</v>
      </c>
      <c r="M159" s="13">
        <v>15488</v>
      </c>
      <c r="N159" s="13">
        <v>24164</v>
      </c>
      <c r="O159" s="13">
        <v>9925</v>
      </c>
      <c r="Q159" s="3">
        <f t="shared" si="37"/>
        <v>8.6449999999999996</v>
      </c>
      <c r="R159" s="3">
        <f t="shared" si="38"/>
        <v>0.93500000000000005</v>
      </c>
      <c r="S159" s="3">
        <f t="shared" si="39"/>
        <v>2.3940000000000001</v>
      </c>
      <c r="T159" s="3">
        <f t="shared" si="40"/>
        <v>-0.63700000000000001</v>
      </c>
      <c r="U159" s="3"/>
      <c r="V159" s="3">
        <f t="shared" si="41"/>
        <v>0.39300000000000002</v>
      </c>
      <c r="W159" s="3">
        <f t="shared" si="42"/>
        <v>-0.38700000000000001</v>
      </c>
      <c r="Y159" s="3">
        <f t="shared" si="43"/>
        <v>11.337</v>
      </c>
      <c r="Z159" s="3">
        <f t="shared" si="44"/>
        <v>6.0000000000000053E-3</v>
      </c>
      <c r="AA159" s="3">
        <f t="shared" si="45"/>
        <v>11.343</v>
      </c>
      <c r="AB159" s="3"/>
      <c r="AC159" s="2" t="str">
        <f t="shared" si="46"/>
        <v>1989-03</v>
      </c>
      <c r="AD159" s="9">
        <f t="shared" si="47"/>
        <v>72.494</v>
      </c>
      <c r="AE159" s="9">
        <f t="shared" si="48"/>
        <v>-3.0780000000000003</v>
      </c>
      <c r="AF159" s="9">
        <f t="shared" si="49"/>
        <v>69.415999999999997</v>
      </c>
      <c r="AG159" s="9"/>
      <c r="AH159" s="10">
        <v>32568</v>
      </c>
      <c r="AI159" s="9">
        <f t="shared" si="50"/>
        <v>42.58</v>
      </c>
      <c r="AJ159" s="9">
        <f t="shared" si="51"/>
        <v>10.63</v>
      </c>
      <c r="AK159" s="9">
        <f t="shared" si="52"/>
        <v>24.293999999999997</v>
      </c>
      <c r="AL159" s="9">
        <f t="shared" si="53"/>
        <v>-5.01</v>
      </c>
      <c r="AM159" s="12">
        <f t="shared" si="54"/>
        <v>26.835999999999999</v>
      </c>
    </row>
    <row r="160" spans="1:39" x14ac:dyDescent="0.25">
      <c r="A160">
        <v>99996</v>
      </c>
      <c r="B160" t="s">
        <v>145</v>
      </c>
      <c r="C160" s="13">
        <v>143115</v>
      </c>
      <c r="D160" s="13">
        <v>4441</v>
      </c>
      <c r="E160" s="13">
        <v>5308</v>
      </c>
      <c r="F160" s="13">
        <v>14138</v>
      </c>
      <c r="G160" s="13">
        <v>15572</v>
      </c>
      <c r="H160" s="13">
        <v>7241</v>
      </c>
      <c r="J160" s="13">
        <v>143128</v>
      </c>
      <c r="K160" s="13">
        <v>2677</v>
      </c>
      <c r="L160" s="13">
        <v>2663</v>
      </c>
      <c r="M160" s="13">
        <v>14278</v>
      </c>
      <c r="N160" s="13">
        <v>15770</v>
      </c>
      <c r="O160" s="13">
        <v>8373</v>
      </c>
      <c r="Q160" s="3">
        <f t="shared" si="37"/>
        <v>-1.2999999999999999E-2</v>
      </c>
      <c r="R160" s="3">
        <f t="shared" si="38"/>
        <v>1.764</v>
      </c>
      <c r="S160" s="3">
        <f t="shared" si="39"/>
        <v>2.645</v>
      </c>
      <c r="T160" s="3">
        <f t="shared" si="40"/>
        <v>-0.19800000000000001</v>
      </c>
      <c r="U160" s="3"/>
      <c r="V160" s="3">
        <f t="shared" si="41"/>
        <v>-0.14000000000000001</v>
      </c>
      <c r="W160" s="3">
        <f t="shared" si="42"/>
        <v>-1.1319999999999999</v>
      </c>
      <c r="Y160" s="3">
        <f t="shared" si="43"/>
        <v>4.1979999999999995</v>
      </c>
      <c r="Z160" s="3">
        <f t="shared" si="44"/>
        <v>-1.2719999999999998</v>
      </c>
      <c r="AA160" s="3">
        <f t="shared" si="45"/>
        <v>2.9260000000000002</v>
      </c>
      <c r="AB160" s="3"/>
      <c r="AC160" s="2" t="str">
        <f t="shared" si="46"/>
        <v>1989-04</v>
      </c>
      <c r="AD160" s="9">
        <f t="shared" si="47"/>
        <v>72.195999999999984</v>
      </c>
      <c r="AE160" s="9">
        <f t="shared" si="48"/>
        <v>-6.0730000000000004</v>
      </c>
      <c r="AF160" s="9">
        <f t="shared" si="49"/>
        <v>66.123000000000005</v>
      </c>
      <c r="AG160" s="9"/>
      <c r="AH160" s="10">
        <v>32599</v>
      </c>
      <c r="AI160" s="9">
        <f t="shared" si="50"/>
        <v>39.131999999999998</v>
      </c>
      <c r="AJ160" s="9">
        <f t="shared" si="51"/>
        <v>12.261000000000001</v>
      </c>
      <c r="AK160" s="9">
        <f t="shared" si="52"/>
        <v>25.886999999999997</v>
      </c>
      <c r="AL160" s="9">
        <f t="shared" si="53"/>
        <v>-5.0840000000000014</v>
      </c>
      <c r="AM160" s="12">
        <f t="shared" si="54"/>
        <v>26.991000000000007</v>
      </c>
    </row>
    <row r="161" spans="1:39" x14ac:dyDescent="0.25">
      <c r="A161">
        <v>99996</v>
      </c>
      <c r="B161" t="s">
        <v>146</v>
      </c>
      <c r="C161" s="13">
        <v>189260</v>
      </c>
      <c r="D161" s="13">
        <v>2473</v>
      </c>
      <c r="E161" s="13">
        <v>5882</v>
      </c>
      <c r="F161" s="13">
        <v>17928</v>
      </c>
      <c r="G161" s="13">
        <v>17323</v>
      </c>
      <c r="H161" s="13">
        <v>8067</v>
      </c>
      <c r="J161" s="13">
        <v>181925</v>
      </c>
      <c r="K161" s="13">
        <v>2982</v>
      </c>
      <c r="L161" s="13">
        <v>5923</v>
      </c>
      <c r="M161" s="13">
        <v>16868</v>
      </c>
      <c r="N161" s="13">
        <v>17420</v>
      </c>
      <c r="O161" s="13">
        <v>9270</v>
      </c>
      <c r="Q161" s="3">
        <f t="shared" si="37"/>
        <v>7.335</v>
      </c>
      <c r="R161" s="3">
        <f t="shared" si="38"/>
        <v>-0.50900000000000001</v>
      </c>
      <c r="S161" s="3">
        <f t="shared" si="39"/>
        <v>-4.1000000000000002E-2</v>
      </c>
      <c r="T161" s="3">
        <f t="shared" si="40"/>
        <v>-9.7000000000000003E-2</v>
      </c>
      <c r="U161" s="3"/>
      <c r="V161" s="3">
        <f t="shared" si="41"/>
        <v>1.06</v>
      </c>
      <c r="W161" s="3">
        <f t="shared" si="42"/>
        <v>-1.2030000000000001</v>
      </c>
      <c r="Y161" s="3">
        <f t="shared" si="43"/>
        <v>6.6879999999999988</v>
      </c>
      <c r="Z161" s="3">
        <f t="shared" si="44"/>
        <v>-0.14300000000000002</v>
      </c>
      <c r="AA161" s="3">
        <f t="shared" si="45"/>
        <v>6.544999999999999</v>
      </c>
      <c r="AB161" s="3"/>
      <c r="AC161" s="2" t="str">
        <f t="shared" si="46"/>
        <v>1989-05</v>
      </c>
      <c r="AD161" s="9">
        <f t="shared" si="47"/>
        <v>62.921999999999997</v>
      </c>
      <c r="AE161" s="9">
        <f t="shared" si="48"/>
        <v>-5.9910000000000005</v>
      </c>
      <c r="AF161" s="9">
        <f t="shared" si="49"/>
        <v>56.931000000000012</v>
      </c>
      <c r="AG161" s="9"/>
      <c r="AH161" s="10">
        <v>32629</v>
      </c>
      <c r="AI161" s="9">
        <f t="shared" si="50"/>
        <v>35.405000000000001</v>
      </c>
      <c r="AJ161" s="9">
        <f t="shared" si="51"/>
        <v>10.474</v>
      </c>
      <c r="AK161" s="9">
        <f t="shared" si="52"/>
        <v>23.014000000000003</v>
      </c>
      <c r="AL161" s="9">
        <f t="shared" si="53"/>
        <v>-5.971000000000001</v>
      </c>
      <c r="AM161" s="12">
        <f t="shared" si="54"/>
        <v>21.52600000000001</v>
      </c>
    </row>
    <row r="162" spans="1:39" x14ac:dyDescent="0.25">
      <c r="A162">
        <v>99996</v>
      </c>
      <c r="B162" t="s">
        <v>147</v>
      </c>
      <c r="C162" s="13">
        <v>221419</v>
      </c>
      <c r="D162" s="13">
        <v>3643</v>
      </c>
      <c r="E162" s="13">
        <v>7230</v>
      </c>
      <c r="F162" s="13">
        <v>24430</v>
      </c>
      <c r="G162" s="13">
        <v>21089</v>
      </c>
      <c r="H162" s="13">
        <v>9350</v>
      </c>
      <c r="J162" s="13">
        <v>226723</v>
      </c>
      <c r="K162" s="13">
        <v>3082</v>
      </c>
      <c r="L162" s="13">
        <v>6242</v>
      </c>
      <c r="M162" s="13">
        <v>20671</v>
      </c>
      <c r="N162" s="13">
        <v>22634</v>
      </c>
      <c r="O162" s="13">
        <v>11817</v>
      </c>
      <c r="Q162" s="3">
        <f t="shared" si="37"/>
        <v>-5.3040000000000003</v>
      </c>
      <c r="R162" s="3">
        <f t="shared" si="38"/>
        <v>0.56100000000000005</v>
      </c>
      <c r="S162" s="3">
        <f t="shared" si="39"/>
        <v>0.98799999999999999</v>
      </c>
      <c r="T162" s="3">
        <f t="shared" si="40"/>
        <v>-1.5449999999999999</v>
      </c>
      <c r="U162" s="3"/>
      <c r="V162" s="3">
        <f t="shared" si="41"/>
        <v>3.7589999999999999</v>
      </c>
      <c r="W162" s="3">
        <f t="shared" si="42"/>
        <v>-2.4670000000000001</v>
      </c>
      <c r="Y162" s="3">
        <f t="shared" si="43"/>
        <v>-5.3000000000000007</v>
      </c>
      <c r="Z162" s="3">
        <f t="shared" si="44"/>
        <v>1.2919999999999998</v>
      </c>
      <c r="AA162" s="3">
        <f t="shared" si="45"/>
        <v>-4.0080000000000009</v>
      </c>
      <c r="AB162" s="3"/>
      <c r="AC162" s="2" t="str">
        <f t="shared" si="46"/>
        <v>1989-06</v>
      </c>
      <c r="AD162" s="9">
        <f t="shared" si="47"/>
        <v>56.704999999999998</v>
      </c>
      <c r="AE162" s="9">
        <f t="shared" si="48"/>
        <v>-4.8440000000000003</v>
      </c>
      <c r="AF162" s="9">
        <f t="shared" si="49"/>
        <v>51.860999999999997</v>
      </c>
      <c r="AG162" s="9"/>
      <c r="AH162" s="10">
        <v>32660</v>
      </c>
      <c r="AI162" s="9">
        <f t="shared" si="50"/>
        <v>32.262999999999998</v>
      </c>
      <c r="AJ162" s="9">
        <f t="shared" si="51"/>
        <v>9.7949999999999982</v>
      </c>
      <c r="AK162" s="9">
        <f t="shared" si="52"/>
        <v>21.491</v>
      </c>
      <c r="AL162" s="9">
        <f t="shared" si="53"/>
        <v>-6.8440000000000003</v>
      </c>
      <c r="AM162" s="12">
        <f t="shared" si="54"/>
        <v>19.597999999999999</v>
      </c>
    </row>
    <row r="163" spans="1:39" x14ac:dyDescent="0.25">
      <c r="A163">
        <v>99996</v>
      </c>
      <c r="B163" t="s">
        <v>148</v>
      </c>
      <c r="C163" s="13">
        <v>205335</v>
      </c>
      <c r="D163" s="13">
        <v>3479</v>
      </c>
      <c r="E163" s="13">
        <v>6373</v>
      </c>
      <c r="F163" s="13">
        <v>17197</v>
      </c>
      <c r="G163" s="13">
        <v>20703</v>
      </c>
      <c r="H163" s="13">
        <v>8128</v>
      </c>
      <c r="J163" s="13">
        <v>206647</v>
      </c>
      <c r="K163" s="13">
        <v>3141</v>
      </c>
      <c r="L163" s="13">
        <v>4534</v>
      </c>
      <c r="M163" s="13">
        <v>15415</v>
      </c>
      <c r="N163" s="13">
        <v>21691</v>
      </c>
      <c r="O163" s="13">
        <v>8568</v>
      </c>
      <c r="Q163" s="3">
        <f t="shared" si="37"/>
        <v>-1.3120000000000001</v>
      </c>
      <c r="R163" s="3">
        <f t="shared" si="38"/>
        <v>0.33800000000000002</v>
      </c>
      <c r="S163" s="3">
        <f t="shared" si="39"/>
        <v>1.839</v>
      </c>
      <c r="T163" s="3">
        <f t="shared" si="40"/>
        <v>-0.98799999999999999</v>
      </c>
      <c r="U163" s="3"/>
      <c r="V163" s="3">
        <f t="shared" si="41"/>
        <v>1.782</v>
      </c>
      <c r="W163" s="3">
        <f t="shared" si="42"/>
        <v>-0.44</v>
      </c>
      <c r="Y163" s="3">
        <f t="shared" si="43"/>
        <v>-0.123</v>
      </c>
      <c r="Z163" s="3">
        <f t="shared" si="44"/>
        <v>1.3420000000000001</v>
      </c>
      <c r="AA163" s="3">
        <f t="shared" si="45"/>
        <v>1.2190000000000001</v>
      </c>
      <c r="AB163" s="3"/>
      <c r="AC163" s="2" t="str">
        <f t="shared" si="46"/>
        <v>1989-07</v>
      </c>
      <c r="AD163" s="9">
        <f t="shared" si="47"/>
        <v>52.979000000000006</v>
      </c>
      <c r="AE163" s="9">
        <f t="shared" si="48"/>
        <v>-4.1940000000000008</v>
      </c>
      <c r="AF163" s="9">
        <f t="shared" si="49"/>
        <v>48.785000000000004</v>
      </c>
      <c r="AG163" s="9"/>
      <c r="AH163" s="10">
        <v>32690</v>
      </c>
      <c r="AI163" s="9">
        <f t="shared" si="50"/>
        <v>30.034999999999993</v>
      </c>
      <c r="AJ163" s="9">
        <f t="shared" si="51"/>
        <v>9.9689999999999976</v>
      </c>
      <c r="AK163" s="9">
        <f t="shared" si="52"/>
        <v>20.280999999999999</v>
      </c>
      <c r="AL163" s="9">
        <f t="shared" si="53"/>
        <v>-7.3060000000000009</v>
      </c>
      <c r="AM163" s="12">
        <f t="shared" si="54"/>
        <v>18.750000000000011</v>
      </c>
    </row>
    <row r="164" spans="1:39" x14ac:dyDescent="0.25">
      <c r="A164">
        <v>99996</v>
      </c>
      <c r="B164" t="s">
        <v>149</v>
      </c>
      <c r="C164" s="13">
        <v>224582</v>
      </c>
      <c r="D164" s="13">
        <v>5540</v>
      </c>
      <c r="E164" s="13">
        <v>5405</v>
      </c>
      <c r="F164" s="13">
        <v>22128</v>
      </c>
      <c r="G164" s="13">
        <v>24110</v>
      </c>
      <c r="H164" s="13">
        <v>9704</v>
      </c>
      <c r="J164" s="13">
        <v>202554</v>
      </c>
      <c r="K164" s="13">
        <v>4033</v>
      </c>
      <c r="L164" s="13">
        <v>5372</v>
      </c>
      <c r="M164" s="13">
        <v>20959</v>
      </c>
      <c r="N164" s="13">
        <v>23132</v>
      </c>
      <c r="O164" s="13">
        <v>11266</v>
      </c>
      <c r="Q164" s="3">
        <f t="shared" si="37"/>
        <v>22.027999999999999</v>
      </c>
      <c r="R164" s="3">
        <f t="shared" si="38"/>
        <v>1.5069999999999999</v>
      </c>
      <c r="S164" s="3">
        <f t="shared" si="39"/>
        <v>3.3000000000000002E-2</v>
      </c>
      <c r="T164" s="3">
        <f t="shared" si="40"/>
        <v>0.97799999999999998</v>
      </c>
      <c r="U164" s="3"/>
      <c r="V164" s="3">
        <f t="shared" si="41"/>
        <v>1.169</v>
      </c>
      <c r="W164" s="3">
        <f t="shared" si="42"/>
        <v>-1.5620000000000001</v>
      </c>
      <c r="Y164" s="3">
        <f t="shared" si="43"/>
        <v>24.546000000000003</v>
      </c>
      <c r="Z164" s="3">
        <f t="shared" si="44"/>
        <v>-0.39300000000000002</v>
      </c>
      <c r="AA164" s="3">
        <f t="shared" si="45"/>
        <v>24.153000000000002</v>
      </c>
      <c r="AB164" s="3"/>
      <c r="AC164" s="2" t="str">
        <f t="shared" si="46"/>
        <v>1989-08</v>
      </c>
      <c r="AD164" s="9">
        <f t="shared" si="47"/>
        <v>76.582999999999998</v>
      </c>
      <c r="AE164" s="9">
        <f t="shared" si="48"/>
        <v>-5.0430000000000001</v>
      </c>
      <c r="AF164" s="9">
        <f t="shared" si="49"/>
        <v>71.540000000000006</v>
      </c>
      <c r="AG164" s="9"/>
      <c r="AH164" s="10">
        <v>32721</v>
      </c>
      <c r="AI164" s="9">
        <f t="shared" si="50"/>
        <v>52.440999999999988</v>
      </c>
      <c r="AJ164" s="9">
        <f t="shared" si="51"/>
        <v>11.248999999999997</v>
      </c>
      <c r="AK164" s="9">
        <f t="shared" si="52"/>
        <v>18.768999999999998</v>
      </c>
      <c r="AL164" s="9">
        <f t="shared" si="53"/>
        <v>-5.8760000000000012</v>
      </c>
      <c r="AM164" s="12">
        <f t="shared" si="54"/>
        <v>19.099000000000018</v>
      </c>
    </row>
    <row r="165" spans="1:39" x14ac:dyDescent="0.25">
      <c r="A165">
        <v>99996</v>
      </c>
      <c r="B165" t="s">
        <v>150</v>
      </c>
      <c r="C165" s="13">
        <v>151208</v>
      </c>
      <c r="D165" s="13">
        <v>3574</v>
      </c>
      <c r="E165" s="13">
        <v>5030</v>
      </c>
      <c r="F165" s="13">
        <v>20119</v>
      </c>
      <c r="G165" s="13">
        <v>18435</v>
      </c>
      <c r="H165" s="13">
        <v>9892</v>
      </c>
      <c r="J165" s="13">
        <v>146591</v>
      </c>
      <c r="K165" s="13">
        <v>2431</v>
      </c>
      <c r="L165" s="13">
        <v>4806</v>
      </c>
      <c r="M165" s="13">
        <v>17193</v>
      </c>
      <c r="N165" s="13">
        <v>20184</v>
      </c>
      <c r="O165" s="13">
        <v>10315</v>
      </c>
      <c r="Q165" s="3">
        <f t="shared" si="37"/>
        <v>4.617</v>
      </c>
      <c r="R165" s="3">
        <f t="shared" si="38"/>
        <v>1.143</v>
      </c>
      <c r="S165" s="3">
        <f t="shared" si="39"/>
        <v>0.224</v>
      </c>
      <c r="T165" s="3">
        <f t="shared" si="40"/>
        <v>-1.7490000000000001</v>
      </c>
      <c r="U165" s="3"/>
      <c r="V165" s="3">
        <f t="shared" si="41"/>
        <v>2.9260000000000002</v>
      </c>
      <c r="W165" s="3">
        <f t="shared" si="42"/>
        <v>-0.42299999999999999</v>
      </c>
      <c r="Y165" s="3">
        <f t="shared" si="43"/>
        <v>4.2349999999999994</v>
      </c>
      <c r="Z165" s="3">
        <f t="shared" si="44"/>
        <v>2.5030000000000001</v>
      </c>
      <c r="AA165" s="3">
        <f t="shared" si="45"/>
        <v>6.7379999999999995</v>
      </c>
      <c r="AB165" s="3"/>
      <c r="AC165" s="2" t="str">
        <f t="shared" si="46"/>
        <v>1989-09</v>
      </c>
      <c r="AD165" s="9">
        <f t="shared" si="47"/>
        <v>81.364999999999995</v>
      </c>
      <c r="AE165" s="9">
        <f t="shared" si="48"/>
        <v>-1.8730000000000002</v>
      </c>
      <c r="AF165" s="9">
        <f t="shared" si="49"/>
        <v>79.492000000000004</v>
      </c>
      <c r="AG165" s="9"/>
      <c r="AH165" s="10">
        <v>32752</v>
      </c>
      <c r="AI165" s="9">
        <f t="shared" si="50"/>
        <v>58.99199999999999</v>
      </c>
      <c r="AJ165" s="9">
        <f t="shared" si="51"/>
        <v>11.320999999999998</v>
      </c>
      <c r="AK165" s="9">
        <f t="shared" si="52"/>
        <v>18.196999999999999</v>
      </c>
      <c r="AL165" s="9">
        <f t="shared" si="53"/>
        <v>-7.1450000000000014</v>
      </c>
      <c r="AM165" s="12">
        <f t="shared" si="54"/>
        <v>20.500000000000014</v>
      </c>
    </row>
    <row r="166" spans="1:39" x14ac:dyDescent="0.25">
      <c r="A166">
        <v>99996</v>
      </c>
      <c r="B166" t="s">
        <v>151</v>
      </c>
      <c r="C166" s="13">
        <v>204753</v>
      </c>
      <c r="D166" s="13">
        <v>6089</v>
      </c>
      <c r="E166" s="13">
        <v>4843</v>
      </c>
      <c r="F166" s="13">
        <v>22364</v>
      </c>
      <c r="G166" s="13">
        <v>21268</v>
      </c>
      <c r="H166" s="13">
        <v>11475</v>
      </c>
      <c r="J166" s="13">
        <v>207259</v>
      </c>
      <c r="K166" s="13">
        <v>3237</v>
      </c>
      <c r="L166" s="13">
        <v>3934</v>
      </c>
      <c r="M166" s="13">
        <v>20993</v>
      </c>
      <c r="N166" s="13">
        <v>21906</v>
      </c>
      <c r="O166" s="13">
        <v>13067</v>
      </c>
      <c r="Q166" s="3">
        <f t="shared" si="37"/>
        <v>-2.5059999999999998</v>
      </c>
      <c r="R166" s="3">
        <f t="shared" si="38"/>
        <v>2.8519999999999999</v>
      </c>
      <c r="S166" s="3">
        <f t="shared" si="39"/>
        <v>0.90900000000000003</v>
      </c>
      <c r="T166" s="3">
        <f t="shared" si="40"/>
        <v>-0.63800000000000001</v>
      </c>
      <c r="U166" s="3"/>
      <c r="V166" s="3">
        <f t="shared" si="41"/>
        <v>1.371</v>
      </c>
      <c r="W166" s="3">
        <f t="shared" si="42"/>
        <v>-1.5920000000000001</v>
      </c>
      <c r="Y166" s="3">
        <f t="shared" si="43"/>
        <v>0.6170000000000001</v>
      </c>
      <c r="Z166" s="3">
        <f t="shared" si="44"/>
        <v>-0.22100000000000009</v>
      </c>
      <c r="AA166" s="3">
        <f t="shared" si="45"/>
        <v>0.39599999999999991</v>
      </c>
      <c r="AB166" s="3"/>
      <c r="AC166" s="2" t="str">
        <f t="shared" si="46"/>
        <v>1989-10</v>
      </c>
      <c r="AD166" s="9">
        <f t="shared" si="47"/>
        <v>77.944000000000003</v>
      </c>
      <c r="AE166" s="9">
        <f t="shared" si="48"/>
        <v>-0.22999999999999954</v>
      </c>
      <c r="AF166" s="9">
        <f t="shared" si="49"/>
        <v>77.714000000000013</v>
      </c>
      <c r="AG166" s="9"/>
      <c r="AH166" s="10">
        <v>32782</v>
      </c>
      <c r="AI166" s="9">
        <f t="shared" si="50"/>
        <v>54.291999999999994</v>
      </c>
      <c r="AJ166" s="9">
        <f t="shared" si="51"/>
        <v>13.425000000000001</v>
      </c>
      <c r="AK166" s="9">
        <f t="shared" si="52"/>
        <v>17.069999999999997</v>
      </c>
      <c r="AL166" s="9">
        <f t="shared" si="53"/>
        <v>-6.843</v>
      </c>
      <c r="AM166" s="12">
        <f t="shared" si="54"/>
        <v>23.422000000000018</v>
      </c>
    </row>
    <row r="167" spans="1:39" x14ac:dyDescent="0.25">
      <c r="A167">
        <v>99996</v>
      </c>
      <c r="B167" t="s">
        <v>152</v>
      </c>
      <c r="C167" s="13">
        <v>187127</v>
      </c>
      <c r="D167" s="13">
        <v>4998</v>
      </c>
      <c r="E167" s="13">
        <v>6136</v>
      </c>
      <c r="F167" s="13">
        <v>13833</v>
      </c>
      <c r="G167" s="13">
        <v>20470</v>
      </c>
      <c r="H167" s="13">
        <v>10385</v>
      </c>
      <c r="J167" s="13">
        <v>178972</v>
      </c>
      <c r="K167" s="13">
        <v>3230</v>
      </c>
      <c r="L167" s="13">
        <v>3538</v>
      </c>
      <c r="M167" s="13">
        <v>14951</v>
      </c>
      <c r="N167" s="13">
        <v>19987</v>
      </c>
      <c r="O167" s="13">
        <v>10986</v>
      </c>
      <c r="Q167" s="3">
        <f t="shared" si="37"/>
        <v>8.1549999999999994</v>
      </c>
      <c r="R167" s="3">
        <f t="shared" si="38"/>
        <v>1.768</v>
      </c>
      <c r="S167" s="3">
        <f t="shared" si="39"/>
        <v>2.5979999999999999</v>
      </c>
      <c r="T167" s="3">
        <f t="shared" si="40"/>
        <v>0.48299999999999998</v>
      </c>
      <c r="U167" s="3"/>
      <c r="V167" s="3">
        <f t="shared" si="41"/>
        <v>-1.1180000000000001</v>
      </c>
      <c r="W167" s="3">
        <f t="shared" si="42"/>
        <v>-0.60099999999999998</v>
      </c>
      <c r="Y167" s="3">
        <f t="shared" si="43"/>
        <v>13.004000000000001</v>
      </c>
      <c r="Z167" s="3">
        <f t="shared" si="44"/>
        <v>-1.7190000000000001</v>
      </c>
      <c r="AA167" s="3">
        <f t="shared" si="45"/>
        <v>11.285</v>
      </c>
      <c r="AB167" s="3"/>
      <c r="AC167" s="2" t="str">
        <f t="shared" si="46"/>
        <v>1989-11</v>
      </c>
      <c r="AD167" s="9">
        <f t="shared" si="47"/>
        <v>78.818000000000012</v>
      </c>
      <c r="AE167" s="9">
        <f t="shared" si="48"/>
        <v>-1.7970000000000004</v>
      </c>
      <c r="AF167" s="9">
        <f t="shared" si="49"/>
        <v>77.021000000000001</v>
      </c>
      <c r="AG167" s="9"/>
      <c r="AH167" s="10">
        <v>32813</v>
      </c>
      <c r="AI167" s="9">
        <f t="shared" si="50"/>
        <v>53.798999999999999</v>
      </c>
      <c r="AJ167" s="9">
        <f t="shared" si="51"/>
        <v>14.684000000000001</v>
      </c>
      <c r="AK167" s="9">
        <f t="shared" si="52"/>
        <v>17.321999999999999</v>
      </c>
      <c r="AL167" s="9">
        <f t="shared" si="53"/>
        <v>-6.987000000000001</v>
      </c>
      <c r="AM167" s="12">
        <f t="shared" si="54"/>
        <v>23.222000000000001</v>
      </c>
    </row>
    <row r="168" spans="1:39" x14ac:dyDescent="0.25">
      <c r="A168">
        <v>99996</v>
      </c>
      <c r="B168" t="s">
        <v>153</v>
      </c>
      <c r="C168" s="13">
        <v>127788</v>
      </c>
      <c r="D168" s="13">
        <v>6010</v>
      </c>
      <c r="E168" s="13">
        <v>7693</v>
      </c>
      <c r="F168" s="13">
        <v>15605</v>
      </c>
      <c r="G168" s="13">
        <v>18545</v>
      </c>
      <c r="H168" s="13">
        <v>9914</v>
      </c>
      <c r="J168" s="13">
        <v>127070</v>
      </c>
      <c r="K168" s="13">
        <v>4375</v>
      </c>
      <c r="L168" s="13">
        <v>4966</v>
      </c>
      <c r="M168" s="13">
        <v>16885</v>
      </c>
      <c r="N168" s="13">
        <v>18819</v>
      </c>
      <c r="O168" s="13">
        <v>12318</v>
      </c>
      <c r="Q168" s="3">
        <f t="shared" si="37"/>
        <v>0.71799999999999997</v>
      </c>
      <c r="R168" s="3">
        <f t="shared" si="38"/>
        <v>1.635</v>
      </c>
      <c r="S168" s="3">
        <f t="shared" si="39"/>
        <v>2.7269999999999999</v>
      </c>
      <c r="T168" s="3">
        <f t="shared" si="40"/>
        <v>-0.27400000000000002</v>
      </c>
      <c r="U168" s="3"/>
      <c r="V168" s="3">
        <f t="shared" si="41"/>
        <v>-1.28</v>
      </c>
      <c r="W168" s="3">
        <f t="shared" si="42"/>
        <v>-2.4039999999999999</v>
      </c>
      <c r="Y168" s="3">
        <f t="shared" si="43"/>
        <v>4.806</v>
      </c>
      <c r="Z168" s="3">
        <f t="shared" si="44"/>
        <v>-3.6840000000000002</v>
      </c>
      <c r="AA168" s="3">
        <f t="shared" si="45"/>
        <v>1.1219999999999999</v>
      </c>
      <c r="AB168" s="3"/>
      <c r="AC168" s="2" t="str">
        <f t="shared" si="46"/>
        <v>1989-12</v>
      </c>
      <c r="AD168" s="9">
        <f t="shared" si="47"/>
        <v>81.106999999999999</v>
      </c>
      <c r="AE168" s="9">
        <f t="shared" si="48"/>
        <v>-3.12</v>
      </c>
      <c r="AF168" s="9">
        <f t="shared" si="49"/>
        <v>77.986999999999995</v>
      </c>
      <c r="AG168" s="9"/>
      <c r="AH168" s="10">
        <v>32843</v>
      </c>
      <c r="AI168" s="9">
        <f t="shared" si="50"/>
        <v>54.204999999999998</v>
      </c>
      <c r="AJ168" s="9">
        <f t="shared" si="51"/>
        <v>15.095000000000001</v>
      </c>
      <c r="AK168" s="9">
        <f t="shared" si="52"/>
        <v>17.295999999999999</v>
      </c>
      <c r="AL168" s="9">
        <f t="shared" si="53"/>
        <v>-5.4890000000000008</v>
      </c>
      <c r="AM168" s="12">
        <f t="shared" si="54"/>
        <v>23.781999999999996</v>
      </c>
    </row>
    <row r="169" spans="1:39" x14ac:dyDescent="0.25">
      <c r="A169">
        <v>99996</v>
      </c>
      <c r="B169" t="s">
        <v>154</v>
      </c>
      <c r="C169" s="13">
        <v>171151</v>
      </c>
      <c r="D169" s="13">
        <v>5359</v>
      </c>
      <c r="E169" s="13">
        <v>4139</v>
      </c>
      <c r="F169" s="13">
        <v>13695</v>
      </c>
      <c r="G169" s="13">
        <v>18668</v>
      </c>
      <c r="H169" s="13">
        <v>13025</v>
      </c>
      <c r="J169" s="13">
        <v>170330</v>
      </c>
      <c r="K169" s="13">
        <v>4819</v>
      </c>
      <c r="L169" s="13">
        <v>3102</v>
      </c>
      <c r="M169" s="13">
        <v>14098</v>
      </c>
      <c r="N169" s="13">
        <v>17953</v>
      </c>
      <c r="O169" s="13">
        <v>12298</v>
      </c>
      <c r="Q169" s="3">
        <f t="shared" si="37"/>
        <v>0.82099999999999995</v>
      </c>
      <c r="R169" s="3">
        <f t="shared" si="38"/>
        <v>0.54</v>
      </c>
      <c r="S169" s="3">
        <f t="shared" si="39"/>
        <v>1.0369999999999999</v>
      </c>
      <c r="T169" s="3">
        <f t="shared" si="40"/>
        <v>0.71499999999999997</v>
      </c>
      <c r="U169" s="3"/>
      <c r="V169" s="3">
        <f t="shared" si="41"/>
        <v>-0.40300000000000002</v>
      </c>
      <c r="W169" s="3">
        <f t="shared" si="42"/>
        <v>0.72699999999999998</v>
      </c>
      <c r="Y169" s="3">
        <f t="shared" si="43"/>
        <v>3.1129999999999995</v>
      </c>
      <c r="Z169" s="3">
        <f t="shared" si="44"/>
        <v>0.32399999999999995</v>
      </c>
      <c r="AA169" s="3">
        <f t="shared" si="45"/>
        <v>3.4369999999999994</v>
      </c>
      <c r="AB169" s="3"/>
      <c r="AC169" s="2" t="str">
        <f t="shared" si="46"/>
        <v>1990-01</v>
      </c>
      <c r="AD169" s="9">
        <f t="shared" si="47"/>
        <v>80.477999999999994</v>
      </c>
      <c r="AE169" s="9">
        <f t="shared" si="48"/>
        <v>-2.133</v>
      </c>
      <c r="AF169" s="9">
        <f t="shared" si="49"/>
        <v>78.344999999999999</v>
      </c>
      <c r="AG169" s="9"/>
      <c r="AH169" s="10">
        <v>32874</v>
      </c>
      <c r="AI169" s="9">
        <f t="shared" si="50"/>
        <v>52.179999999999993</v>
      </c>
      <c r="AJ169" s="9">
        <f t="shared" si="51"/>
        <v>14.431999999999999</v>
      </c>
      <c r="AK169" s="9">
        <f t="shared" si="52"/>
        <v>18.25</v>
      </c>
      <c r="AL169" s="9">
        <f t="shared" si="53"/>
        <v>-4.3840000000000003</v>
      </c>
      <c r="AM169" s="12">
        <f t="shared" si="54"/>
        <v>26.165000000000006</v>
      </c>
    </row>
    <row r="170" spans="1:39" x14ac:dyDescent="0.25">
      <c r="A170">
        <v>99996</v>
      </c>
      <c r="B170" t="s">
        <v>155</v>
      </c>
      <c r="C170" s="13">
        <v>163833</v>
      </c>
      <c r="D170" s="13">
        <v>5688</v>
      </c>
      <c r="E170" s="13">
        <v>4539</v>
      </c>
      <c r="F170" s="13">
        <v>13554</v>
      </c>
      <c r="G170" s="13">
        <v>21010</v>
      </c>
      <c r="H170" s="13">
        <v>10531</v>
      </c>
      <c r="J170" s="13">
        <v>162972</v>
      </c>
      <c r="K170" s="13">
        <v>4313</v>
      </c>
      <c r="L170" s="13">
        <v>3901</v>
      </c>
      <c r="M170" s="13">
        <v>13765</v>
      </c>
      <c r="N170" s="13">
        <v>20792</v>
      </c>
      <c r="O170" s="13">
        <v>11550</v>
      </c>
      <c r="Q170" s="3">
        <f t="shared" si="37"/>
        <v>0.86099999999999999</v>
      </c>
      <c r="R170" s="3">
        <f t="shared" si="38"/>
        <v>1.375</v>
      </c>
      <c r="S170" s="3">
        <f t="shared" si="39"/>
        <v>0.63800000000000001</v>
      </c>
      <c r="T170" s="3">
        <f t="shared" si="40"/>
        <v>0.218</v>
      </c>
      <c r="U170" s="3"/>
      <c r="V170" s="3">
        <f t="shared" si="41"/>
        <v>-0.21099999999999999</v>
      </c>
      <c r="W170" s="3">
        <f t="shared" si="42"/>
        <v>-1.0189999999999999</v>
      </c>
      <c r="Y170" s="3">
        <f t="shared" si="43"/>
        <v>3.0919999999999996</v>
      </c>
      <c r="Z170" s="3">
        <f t="shared" si="44"/>
        <v>-1.23</v>
      </c>
      <c r="AA170" s="3">
        <f t="shared" si="45"/>
        <v>1.8619999999999999</v>
      </c>
      <c r="AB170" s="3"/>
      <c r="AC170" s="2" t="str">
        <f t="shared" si="46"/>
        <v>1990-02</v>
      </c>
      <c r="AD170" s="9">
        <f t="shared" si="47"/>
        <v>70.212999999999994</v>
      </c>
      <c r="AE170" s="9">
        <f t="shared" si="48"/>
        <v>-3.1950000000000007</v>
      </c>
      <c r="AF170" s="9">
        <f t="shared" si="49"/>
        <v>67.017999999999986</v>
      </c>
      <c r="AG170" s="9"/>
      <c r="AH170" s="10">
        <v>32905</v>
      </c>
      <c r="AI170" s="9">
        <f t="shared" si="50"/>
        <v>44.044999999999995</v>
      </c>
      <c r="AJ170" s="9">
        <f t="shared" si="51"/>
        <v>13.908999999999999</v>
      </c>
      <c r="AK170" s="9">
        <f t="shared" si="52"/>
        <v>15.990999999999998</v>
      </c>
      <c r="AL170" s="9">
        <f t="shared" si="53"/>
        <v>-3.7320000000000011</v>
      </c>
      <c r="AM170" s="12">
        <f t="shared" si="54"/>
        <v>22.972999999999992</v>
      </c>
    </row>
    <row r="171" spans="1:39" x14ac:dyDescent="0.25">
      <c r="A171">
        <v>99996</v>
      </c>
      <c r="B171" t="s">
        <v>156</v>
      </c>
      <c r="C171" s="13">
        <v>133654</v>
      </c>
      <c r="D171" s="13">
        <v>4473</v>
      </c>
      <c r="E171" s="13">
        <v>4844</v>
      </c>
      <c r="F171" s="13">
        <v>16441</v>
      </c>
      <c r="G171" s="13">
        <v>22540</v>
      </c>
      <c r="H171" s="13">
        <v>11822</v>
      </c>
      <c r="J171" s="13">
        <v>142950</v>
      </c>
      <c r="K171" s="13">
        <v>4215</v>
      </c>
      <c r="L171" s="13">
        <v>4811</v>
      </c>
      <c r="M171" s="13">
        <v>19031</v>
      </c>
      <c r="N171" s="13">
        <v>31982</v>
      </c>
      <c r="O171" s="13">
        <v>11953</v>
      </c>
      <c r="Q171" s="3">
        <f t="shared" si="37"/>
        <v>-9.2959999999999994</v>
      </c>
      <c r="R171" s="3">
        <f t="shared" si="38"/>
        <v>0.25800000000000001</v>
      </c>
      <c r="S171" s="3">
        <f t="shared" si="39"/>
        <v>3.3000000000000002E-2</v>
      </c>
      <c r="T171" s="3">
        <f t="shared" si="40"/>
        <v>-9.4420000000000002</v>
      </c>
      <c r="U171" s="3"/>
      <c r="V171" s="3">
        <f t="shared" si="41"/>
        <v>-2.59</v>
      </c>
      <c r="W171" s="3">
        <f t="shared" si="42"/>
        <v>-0.13100000000000001</v>
      </c>
      <c r="Y171" s="3">
        <f t="shared" si="43"/>
        <v>-18.447000000000003</v>
      </c>
      <c r="Z171" s="3">
        <f t="shared" si="44"/>
        <v>-2.7210000000000001</v>
      </c>
      <c r="AA171" s="3">
        <f t="shared" si="45"/>
        <v>-21.168000000000003</v>
      </c>
      <c r="AB171" s="3"/>
      <c r="AC171" s="2" t="str">
        <f t="shared" si="46"/>
        <v>1990-03</v>
      </c>
      <c r="AD171" s="9">
        <f t="shared" si="47"/>
        <v>40.428999999999988</v>
      </c>
      <c r="AE171" s="9">
        <f t="shared" si="48"/>
        <v>-5.9220000000000006</v>
      </c>
      <c r="AF171" s="9">
        <f t="shared" si="49"/>
        <v>34.507000000000005</v>
      </c>
      <c r="AG171" s="9"/>
      <c r="AH171" s="10">
        <v>32933</v>
      </c>
      <c r="AI171" s="9">
        <f t="shared" si="50"/>
        <v>26.103999999999999</v>
      </c>
      <c r="AJ171" s="9">
        <f t="shared" si="51"/>
        <v>13.231999999999999</v>
      </c>
      <c r="AK171" s="9">
        <f t="shared" si="52"/>
        <v>13.629999999999999</v>
      </c>
      <c r="AL171" s="9">
        <f t="shared" si="53"/>
        <v>-12.537000000000001</v>
      </c>
      <c r="AM171" s="12">
        <f t="shared" si="54"/>
        <v>8.4030000000000058</v>
      </c>
    </row>
    <row r="172" spans="1:39" x14ac:dyDescent="0.25">
      <c r="A172">
        <v>99996</v>
      </c>
      <c r="B172" t="s">
        <v>157</v>
      </c>
      <c r="C172" s="13">
        <v>139916</v>
      </c>
      <c r="D172" s="13">
        <v>4613</v>
      </c>
      <c r="E172" s="13">
        <v>3751</v>
      </c>
      <c r="F172" s="13">
        <v>11461</v>
      </c>
      <c r="G172" s="13">
        <v>20457</v>
      </c>
      <c r="H172" s="13">
        <v>8421</v>
      </c>
      <c r="J172" s="13">
        <v>136664</v>
      </c>
      <c r="K172" s="13">
        <v>4998</v>
      </c>
      <c r="L172" s="13">
        <v>3063</v>
      </c>
      <c r="M172" s="13">
        <v>12326</v>
      </c>
      <c r="N172" s="13">
        <v>22012</v>
      </c>
      <c r="O172" s="13">
        <v>9342</v>
      </c>
      <c r="Q172" s="3">
        <f t="shared" si="37"/>
        <v>3.2519999999999998</v>
      </c>
      <c r="R172" s="3">
        <f t="shared" si="38"/>
        <v>-0.38500000000000001</v>
      </c>
      <c r="S172" s="3">
        <f t="shared" si="39"/>
        <v>0.68799999999999994</v>
      </c>
      <c r="T172" s="3">
        <f t="shared" si="40"/>
        <v>-1.5549999999999999</v>
      </c>
      <c r="U172" s="3"/>
      <c r="V172" s="3">
        <f t="shared" si="41"/>
        <v>-0.86499999999999999</v>
      </c>
      <c r="W172" s="3">
        <f t="shared" si="42"/>
        <v>-0.92100000000000004</v>
      </c>
      <c r="Y172" s="3">
        <f t="shared" si="43"/>
        <v>1.9999999999999998</v>
      </c>
      <c r="Z172" s="3">
        <f t="shared" si="44"/>
        <v>-1.786</v>
      </c>
      <c r="AA172" s="3">
        <f t="shared" si="45"/>
        <v>0.21399999999999975</v>
      </c>
      <c r="AB172" s="3"/>
      <c r="AC172" s="2" t="str">
        <f t="shared" si="46"/>
        <v>1990-04</v>
      </c>
      <c r="AD172" s="9">
        <f t="shared" si="47"/>
        <v>38.230999999999995</v>
      </c>
      <c r="AE172" s="9">
        <f t="shared" si="48"/>
        <v>-6.4359999999999999</v>
      </c>
      <c r="AF172" s="9">
        <f t="shared" si="49"/>
        <v>31.794999999999998</v>
      </c>
      <c r="AG172" s="9"/>
      <c r="AH172" s="10">
        <v>32964</v>
      </c>
      <c r="AI172" s="9">
        <f t="shared" si="50"/>
        <v>29.368999999999989</v>
      </c>
      <c r="AJ172" s="9">
        <f t="shared" si="51"/>
        <v>11.083</v>
      </c>
      <c r="AK172" s="9">
        <f t="shared" si="52"/>
        <v>11.673</v>
      </c>
      <c r="AL172" s="9">
        <f t="shared" si="53"/>
        <v>-13.894</v>
      </c>
      <c r="AM172" s="12">
        <f t="shared" si="54"/>
        <v>2.426000000000009</v>
      </c>
    </row>
    <row r="173" spans="1:39" x14ac:dyDescent="0.25">
      <c r="A173">
        <v>99996</v>
      </c>
      <c r="B173" t="s">
        <v>158</v>
      </c>
      <c r="C173" s="13">
        <v>148646</v>
      </c>
      <c r="D173" s="13">
        <v>4378</v>
      </c>
      <c r="E173" s="13">
        <v>4112</v>
      </c>
      <c r="F173" s="13">
        <v>15242</v>
      </c>
      <c r="G173" s="13">
        <v>25962</v>
      </c>
      <c r="H173" s="13">
        <v>9859</v>
      </c>
      <c r="J173" s="13">
        <v>151684</v>
      </c>
      <c r="K173" s="13">
        <v>3363</v>
      </c>
      <c r="L173" s="13">
        <v>3411</v>
      </c>
      <c r="M173" s="13">
        <v>17675</v>
      </c>
      <c r="N173" s="13">
        <v>27648</v>
      </c>
      <c r="O173" s="13">
        <v>12428</v>
      </c>
      <c r="Q173" s="3">
        <f t="shared" si="37"/>
        <v>-3.0379999999999998</v>
      </c>
      <c r="R173" s="3">
        <f t="shared" si="38"/>
        <v>1.0149999999999999</v>
      </c>
      <c r="S173" s="3">
        <f t="shared" si="39"/>
        <v>0.70099999999999996</v>
      </c>
      <c r="T173" s="3">
        <f t="shared" si="40"/>
        <v>-1.6859999999999999</v>
      </c>
      <c r="U173" s="3"/>
      <c r="V173" s="3">
        <f t="shared" si="41"/>
        <v>-2.4329999999999998</v>
      </c>
      <c r="W173" s="3">
        <f t="shared" si="42"/>
        <v>-2.569</v>
      </c>
      <c r="Y173" s="3">
        <f t="shared" si="43"/>
        <v>-3.0079999999999996</v>
      </c>
      <c r="Z173" s="3">
        <f t="shared" si="44"/>
        <v>-5.0019999999999998</v>
      </c>
      <c r="AA173" s="3">
        <f t="shared" si="45"/>
        <v>-8.009999999999998</v>
      </c>
      <c r="AB173" s="3"/>
      <c r="AC173" s="2" t="str">
        <f t="shared" si="46"/>
        <v>1990-05</v>
      </c>
      <c r="AD173" s="9">
        <f t="shared" si="47"/>
        <v>28.534999999999993</v>
      </c>
      <c r="AE173" s="9">
        <f t="shared" si="48"/>
        <v>-11.295000000000002</v>
      </c>
      <c r="AF173" s="9">
        <f t="shared" si="49"/>
        <v>17.239999999999998</v>
      </c>
      <c r="AG173" s="9"/>
      <c r="AH173" s="10">
        <v>32994</v>
      </c>
      <c r="AI173" s="9">
        <f t="shared" si="50"/>
        <v>18.995999999999999</v>
      </c>
      <c r="AJ173" s="9">
        <f t="shared" si="51"/>
        <v>12.607000000000001</v>
      </c>
      <c r="AK173" s="9">
        <f t="shared" si="52"/>
        <v>12.415000000000001</v>
      </c>
      <c r="AL173" s="9">
        <f t="shared" si="53"/>
        <v>-15.483000000000001</v>
      </c>
      <c r="AM173" s="12">
        <f t="shared" si="54"/>
        <v>-1.7560000000000002</v>
      </c>
    </row>
    <row r="174" spans="1:39" x14ac:dyDescent="0.25">
      <c r="A174">
        <v>99996</v>
      </c>
      <c r="B174" t="s">
        <v>159</v>
      </c>
      <c r="C174" s="13">
        <v>133310</v>
      </c>
      <c r="D174" s="13">
        <v>4661</v>
      </c>
      <c r="E174" s="13">
        <v>7838</v>
      </c>
      <c r="F174" s="13">
        <v>18198</v>
      </c>
      <c r="G174" s="13">
        <v>25780</v>
      </c>
      <c r="H174" s="13">
        <v>11070</v>
      </c>
      <c r="J174" s="13">
        <v>129812</v>
      </c>
      <c r="K174" s="13">
        <v>3818</v>
      </c>
      <c r="L174" s="13">
        <v>4789</v>
      </c>
      <c r="M174" s="13">
        <v>18522</v>
      </c>
      <c r="N174" s="13">
        <v>27621</v>
      </c>
      <c r="O174" s="13">
        <v>14078</v>
      </c>
      <c r="Q174" s="3">
        <f t="shared" si="37"/>
        <v>3.4980000000000002</v>
      </c>
      <c r="R174" s="3">
        <f t="shared" si="38"/>
        <v>0.84299999999999997</v>
      </c>
      <c r="S174" s="3">
        <f t="shared" si="39"/>
        <v>3.0489999999999999</v>
      </c>
      <c r="T174" s="3">
        <f t="shared" si="40"/>
        <v>-1.841</v>
      </c>
      <c r="U174" s="3"/>
      <c r="V174" s="3">
        <f t="shared" si="41"/>
        <v>-0.32400000000000001</v>
      </c>
      <c r="W174" s="3">
        <f t="shared" si="42"/>
        <v>-3.008</v>
      </c>
      <c r="Y174" s="3">
        <f t="shared" si="43"/>
        <v>5.5490000000000004</v>
      </c>
      <c r="Z174" s="3">
        <f t="shared" si="44"/>
        <v>-3.3319999999999999</v>
      </c>
      <c r="AA174" s="3">
        <f t="shared" si="45"/>
        <v>2.2170000000000005</v>
      </c>
      <c r="AB174" s="3"/>
      <c r="AC174" s="2" t="str">
        <f t="shared" si="46"/>
        <v>1990-06</v>
      </c>
      <c r="AD174" s="9">
        <f t="shared" si="47"/>
        <v>39.383999999999993</v>
      </c>
      <c r="AE174" s="9">
        <f t="shared" si="48"/>
        <v>-15.919</v>
      </c>
      <c r="AF174" s="9">
        <f t="shared" si="49"/>
        <v>23.464999999999996</v>
      </c>
      <c r="AG174" s="9"/>
      <c r="AH174" s="10">
        <v>33025</v>
      </c>
      <c r="AI174" s="9">
        <f t="shared" si="50"/>
        <v>27.797999999999998</v>
      </c>
      <c r="AJ174" s="9">
        <f t="shared" si="51"/>
        <v>12.889000000000001</v>
      </c>
      <c r="AK174" s="9">
        <f t="shared" si="52"/>
        <v>14.476000000000001</v>
      </c>
      <c r="AL174" s="9">
        <f t="shared" si="53"/>
        <v>-15.779</v>
      </c>
      <c r="AM174" s="12">
        <f t="shared" si="54"/>
        <v>-4.333000000000002</v>
      </c>
    </row>
    <row r="175" spans="1:39" x14ac:dyDescent="0.25">
      <c r="A175">
        <v>99996</v>
      </c>
      <c r="B175" t="s">
        <v>160</v>
      </c>
      <c r="C175" s="13">
        <v>148861</v>
      </c>
      <c r="D175" s="13">
        <v>4008</v>
      </c>
      <c r="E175" s="13">
        <v>6838</v>
      </c>
      <c r="F175" s="13">
        <v>17473</v>
      </c>
      <c r="G175" s="13">
        <v>23373</v>
      </c>
      <c r="H175" s="13">
        <v>11439</v>
      </c>
      <c r="J175" s="13">
        <v>143720</v>
      </c>
      <c r="K175" s="13">
        <v>2857</v>
      </c>
      <c r="L175" s="13">
        <v>5352</v>
      </c>
      <c r="M175" s="13">
        <v>16070</v>
      </c>
      <c r="N175" s="13">
        <v>23941</v>
      </c>
      <c r="O175" s="13">
        <v>12592</v>
      </c>
      <c r="Q175" s="3">
        <f t="shared" si="37"/>
        <v>5.141</v>
      </c>
      <c r="R175" s="3">
        <f t="shared" si="38"/>
        <v>1.151</v>
      </c>
      <c r="S175" s="3">
        <f t="shared" si="39"/>
        <v>1.486</v>
      </c>
      <c r="T175" s="3">
        <f t="shared" si="40"/>
        <v>-0.56799999999999995</v>
      </c>
      <c r="U175" s="3"/>
      <c r="V175" s="3">
        <f t="shared" si="41"/>
        <v>1.403</v>
      </c>
      <c r="W175" s="3">
        <f t="shared" si="42"/>
        <v>-1.153</v>
      </c>
      <c r="Y175" s="3">
        <f t="shared" si="43"/>
        <v>7.21</v>
      </c>
      <c r="Z175" s="3">
        <f t="shared" si="44"/>
        <v>0.25</v>
      </c>
      <c r="AA175" s="3">
        <f t="shared" si="45"/>
        <v>7.4599999999999991</v>
      </c>
      <c r="AB175" s="3"/>
      <c r="AC175" s="2" t="str">
        <f t="shared" si="46"/>
        <v>1990-07</v>
      </c>
      <c r="AD175" s="9">
        <f t="shared" si="47"/>
        <v>46.716999999999992</v>
      </c>
      <c r="AE175" s="9">
        <f t="shared" si="48"/>
        <v>-17.010999999999999</v>
      </c>
      <c r="AF175" s="9">
        <f t="shared" si="49"/>
        <v>29.706000000000003</v>
      </c>
      <c r="AG175" s="9"/>
      <c r="AH175" s="10">
        <v>33055</v>
      </c>
      <c r="AI175" s="9">
        <f t="shared" si="50"/>
        <v>34.250999999999998</v>
      </c>
      <c r="AJ175" s="9">
        <f t="shared" si="51"/>
        <v>13.702</v>
      </c>
      <c r="AK175" s="9">
        <f t="shared" si="52"/>
        <v>14.123000000000001</v>
      </c>
      <c r="AL175" s="9">
        <f t="shared" si="53"/>
        <v>-15.358999999999998</v>
      </c>
      <c r="AM175" s="12">
        <f t="shared" si="54"/>
        <v>-4.5449999999999946</v>
      </c>
    </row>
    <row r="176" spans="1:39" x14ac:dyDescent="0.25">
      <c r="A176">
        <v>99996</v>
      </c>
      <c r="B176" t="s">
        <v>161</v>
      </c>
      <c r="C176" s="13">
        <v>192974</v>
      </c>
      <c r="D176" s="13">
        <v>5249</v>
      </c>
      <c r="E176" s="13">
        <v>6603</v>
      </c>
      <c r="F176" s="13">
        <v>20913</v>
      </c>
      <c r="G176" s="13">
        <v>30090</v>
      </c>
      <c r="H176" s="13">
        <v>12367</v>
      </c>
      <c r="J176" s="13">
        <v>188578</v>
      </c>
      <c r="K176" s="13">
        <v>5995</v>
      </c>
      <c r="L176" s="13">
        <v>7010</v>
      </c>
      <c r="M176" s="13">
        <v>22227</v>
      </c>
      <c r="N176" s="13">
        <v>29675</v>
      </c>
      <c r="O176" s="13">
        <v>12552</v>
      </c>
      <c r="Q176" s="3">
        <f t="shared" si="37"/>
        <v>4.3959999999999999</v>
      </c>
      <c r="R176" s="3">
        <f t="shared" si="38"/>
        <v>-0.746</v>
      </c>
      <c r="S176" s="3">
        <f t="shared" si="39"/>
        <v>-0.40699999999999997</v>
      </c>
      <c r="T176" s="3">
        <f t="shared" si="40"/>
        <v>0.41499999999999998</v>
      </c>
      <c r="U176" s="3"/>
      <c r="V176" s="3">
        <f t="shared" si="41"/>
        <v>-1.3140000000000001</v>
      </c>
      <c r="W176" s="3">
        <f t="shared" si="42"/>
        <v>-0.185</v>
      </c>
      <c r="Y176" s="3">
        <f t="shared" si="43"/>
        <v>3.6579999999999999</v>
      </c>
      <c r="Z176" s="3">
        <f t="shared" si="44"/>
        <v>-1.4990000000000001</v>
      </c>
      <c r="AA176" s="3">
        <f t="shared" si="45"/>
        <v>2.1589999999999998</v>
      </c>
      <c r="AB176" s="3"/>
      <c r="AC176" s="2" t="str">
        <f t="shared" si="46"/>
        <v>1990-08</v>
      </c>
      <c r="AD176" s="9">
        <f t="shared" si="47"/>
        <v>25.829000000000001</v>
      </c>
      <c r="AE176" s="9">
        <f t="shared" si="48"/>
        <v>-18.117000000000001</v>
      </c>
      <c r="AF176" s="9">
        <f t="shared" si="49"/>
        <v>7.711999999999998</v>
      </c>
      <c r="AG176" s="9"/>
      <c r="AH176" s="10">
        <v>33086</v>
      </c>
      <c r="AI176" s="9">
        <f t="shared" si="50"/>
        <v>16.619</v>
      </c>
      <c r="AJ176" s="9">
        <f t="shared" si="51"/>
        <v>11.448999999999998</v>
      </c>
      <c r="AK176" s="9">
        <f t="shared" si="52"/>
        <v>13.683000000000002</v>
      </c>
      <c r="AL176" s="9">
        <f t="shared" si="53"/>
        <v>-15.922000000000001</v>
      </c>
      <c r="AM176" s="12">
        <f t="shared" si="54"/>
        <v>-8.9070000000000018</v>
      </c>
    </row>
    <row r="177" spans="1:39" x14ac:dyDescent="0.25">
      <c r="A177">
        <v>99996</v>
      </c>
      <c r="B177" t="s">
        <v>162</v>
      </c>
      <c r="C177" s="13">
        <v>121126</v>
      </c>
      <c r="D177" s="13">
        <v>3497</v>
      </c>
      <c r="E177" s="13">
        <v>3901</v>
      </c>
      <c r="F177" s="13">
        <v>8809</v>
      </c>
      <c r="G177" s="13">
        <v>25700</v>
      </c>
      <c r="H177" s="13">
        <v>7523</v>
      </c>
      <c r="J177" s="13">
        <v>119150</v>
      </c>
      <c r="K177" s="13">
        <v>4431</v>
      </c>
      <c r="L177" s="13">
        <v>4957</v>
      </c>
      <c r="M177" s="13">
        <v>11323</v>
      </c>
      <c r="N177" s="13">
        <v>26257</v>
      </c>
      <c r="O177" s="13">
        <v>7072</v>
      </c>
      <c r="Q177" s="3">
        <f t="shared" si="37"/>
        <v>1.976</v>
      </c>
      <c r="R177" s="3">
        <f t="shared" si="38"/>
        <v>-0.93400000000000005</v>
      </c>
      <c r="S177" s="3">
        <f t="shared" si="39"/>
        <v>-1.056</v>
      </c>
      <c r="T177" s="3">
        <f t="shared" si="40"/>
        <v>-0.55700000000000005</v>
      </c>
      <c r="U177" s="3"/>
      <c r="V177" s="3">
        <f t="shared" si="41"/>
        <v>-2.5139999999999998</v>
      </c>
      <c r="W177" s="3">
        <f t="shared" si="42"/>
        <v>0.45100000000000001</v>
      </c>
      <c r="Y177" s="3">
        <f t="shared" si="43"/>
        <v>-0.57100000000000029</v>
      </c>
      <c r="Z177" s="3">
        <f t="shared" si="44"/>
        <v>-2.0629999999999997</v>
      </c>
      <c r="AA177" s="3">
        <f t="shared" si="45"/>
        <v>-2.6339999999999999</v>
      </c>
      <c r="AB177" s="3"/>
      <c r="AC177" s="2" t="str">
        <f t="shared" si="46"/>
        <v>1990-09</v>
      </c>
      <c r="AD177" s="9">
        <f t="shared" si="47"/>
        <v>21.023</v>
      </c>
      <c r="AE177" s="9">
        <f t="shared" si="48"/>
        <v>-22.683</v>
      </c>
      <c r="AF177" s="9">
        <f t="shared" si="49"/>
        <v>-1.6600000000000024</v>
      </c>
      <c r="AG177" s="9"/>
      <c r="AH177" s="10">
        <v>33117</v>
      </c>
      <c r="AI177" s="9">
        <f t="shared" si="50"/>
        <v>13.977999999999998</v>
      </c>
      <c r="AJ177" s="9">
        <f t="shared" si="51"/>
        <v>9.3720000000000017</v>
      </c>
      <c r="AK177" s="9">
        <f t="shared" si="52"/>
        <v>12.403000000000002</v>
      </c>
      <c r="AL177" s="9">
        <f t="shared" si="53"/>
        <v>-14.73</v>
      </c>
      <c r="AM177" s="12">
        <f t="shared" si="54"/>
        <v>-15.638</v>
      </c>
    </row>
    <row r="178" spans="1:39" x14ac:dyDescent="0.25">
      <c r="A178">
        <v>99996</v>
      </c>
      <c r="B178" t="s">
        <v>163</v>
      </c>
      <c r="C178" s="13">
        <v>158915</v>
      </c>
      <c r="D178" s="13">
        <v>4211</v>
      </c>
      <c r="E178" s="13">
        <v>4641</v>
      </c>
      <c r="F178" s="13">
        <v>11635</v>
      </c>
      <c r="G178" s="13">
        <v>35240</v>
      </c>
      <c r="H178" s="13">
        <v>9255</v>
      </c>
      <c r="J178" s="13">
        <v>160194</v>
      </c>
      <c r="K178" s="13">
        <v>3290</v>
      </c>
      <c r="L178" s="13">
        <v>4384</v>
      </c>
      <c r="M178" s="13">
        <v>15438</v>
      </c>
      <c r="N178" s="13">
        <v>38060</v>
      </c>
      <c r="O178" s="13">
        <v>9636</v>
      </c>
      <c r="Q178" s="3">
        <f t="shared" si="37"/>
        <v>-1.2789999999999999</v>
      </c>
      <c r="R178" s="3">
        <f t="shared" si="38"/>
        <v>0.92100000000000004</v>
      </c>
      <c r="S178" s="3">
        <f t="shared" si="39"/>
        <v>0.25700000000000001</v>
      </c>
      <c r="T178" s="3">
        <f t="shared" si="40"/>
        <v>-2.82</v>
      </c>
      <c r="U178" s="3"/>
      <c r="V178" s="3">
        <f t="shared" si="41"/>
        <v>-3.8029999999999999</v>
      </c>
      <c r="W178" s="3">
        <f t="shared" si="42"/>
        <v>-0.38100000000000001</v>
      </c>
      <c r="Y178" s="3">
        <f t="shared" si="43"/>
        <v>-2.9209999999999998</v>
      </c>
      <c r="Z178" s="3">
        <f t="shared" si="44"/>
        <v>-4.1840000000000002</v>
      </c>
      <c r="AA178" s="3">
        <f t="shared" si="45"/>
        <v>-7.1050000000000004</v>
      </c>
      <c r="AB178" s="3"/>
      <c r="AC178" s="2" t="str">
        <f t="shared" si="46"/>
        <v>1990-10</v>
      </c>
      <c r="AD178" s="9">
        <f t="shared" si="47"/>
        <v>17.484999999999999</v>
      </c>
      <c r="AE178" s="9">
        <f t="shared" si="48"/>
        <v>-26.646000000000001</v>
      </c>
      <c r="AF178" s="9">
        <f t="shared" si="49"/>
        <v>-9.1610000000000031</v>
      </c>
      <c r="AG178" s="9"/>
      <c r="AH178" s="10">
        <v>33147</v>
      </c>
      <c r="AI178" s="9">
        <f t="shared" si="50"/>
        <v>15.204999999999998</v>
      </c>
      <c r="AJ178" s="9">
        <f t="shared" si="51"/>
        <v>7.4409999999999989</v>
      </c>
      <c r="AK178" s="9">
        <f t="shared" si="52"/>
        <v>11.750999999999999</v>
      </c>
      <c r="AL178" s="9">
        <f t="shared" si="53"/>
        <v>-16.911999999999999</v>
      </c>
      <c r="AM178" s="12">
        <f t="shared" si="54"/>
        <v>-24.366</v>
      </c>
    </row>
    <row r="179" spans="1:39" x14ac:dyDescent="0.25">
      <c r="A179">
        <v>99996</v>
      </c>
      <c r="B179" t="s">
        <v>164</v>
      </c>
      <c r="C179" s="13">
        <v>170918</v>
      </c>
      <c r="D179" s="13">
        <v>4648</v>
      </c>
      <c r="E179" s="13">
        <v>6557</v>
      </c>
      <c r="F179" s="13">
        <v>12557</v>
      </c>
      <c r="G179" s="13">
        <v>32896</v>
      </c>
      <c r="H179" s="13">
        <v>10061</v>
      </c>
      <c r="J179" s="13">
        <v>164957</v>
      </c>
      <c r="K179" s="13">
        <v>3360</v>
      </c>
      <c r="L179" s="13">
        <v>4699</v>
      </c>
      <c r="M179" s="13">
        <v>13373</v>
      </c>
      <c r="N179" s="13">
        <v>32739</v>
      </c>
      <c r="O179" s="13">
        <v>8993</v>
      </c>
      <c r="Q179" s="3">
        <f t="shared" si="37"/>
        <v>5.9610000000000003</v>
      </c>
      <c r="R179" s="3">
        <f t="shared" si="38"/>
        <v>1.288</v>
      </c>
      <c r="S179" s="3">
        <f t="shared" si="39"/>
        <v>1.8580000000000001</v>
      </c>
      <c r="T179" s="3">
        <f t="shared" si="40"/>
        <v>0.157</v>
      </c>
      <c r="U179" s="3"/>
      <c r="V179" s="3">
        <f t="shared" si="41"/>
        <v>-0.81599999999999995</v>
      </c>
      <c r="W179" s="3">
        <f t="shared" si="42"/>
        <v>1.0680000000000001</v>
      </c>
      <c r="Y179" s="3">
        <f t="shared" si="43"/>
        <v>9.2640000000000011</v>
      </c>
      <c r="Z179" s="3">
        <f t="shared" si="44"/>
        <v>0.25200000000000011</v>
      </c>
      <c r="AA179" s="3">
        <f t="shared" si="45"/>
        <v>9.516</v>
      </c>
      <c r="AB179" s="3"/>
      <c r="AC179" s="2" t="str">
        <f t="shared" si="46"/>
        <v>1990-11</v>
      </c>
      <c r="AD179" s="9">
        <f t="shared" si="47"/>
        <v>13.744999999999997</v>
      </c>
      <c r="AE179" s="9">
        <f t="shared" si="48"/>
        <v>-24.675000000000001</v>
      </c>
      <c r="AF179" s="9">
        <f t="shared" si="49"/>
        <v>-10.930000000000001</v>
      </c>
      <c r="AG179" s="9"/>
      <c r="AH179" s="10">
        <v>33178</v>
      </c>
      <c r="AI179" s="9">
        <f t="shared" si="50"/>
        <v>13.011000000000001</v>
      </c>
      <c r="AJ179" s="9">
        <f t="shared" si="51"/>
        <v>6.9610000000000003</v>
      </c>
      <c r="AK179" s="9">
        <f t="shared" si="52"/>
        <v>11.011000000000001</v>
      </c>
      <c r="AL179" s="9">
        <f t="shared" si="53"/>
        <v>-17.238</v>
      </c>
      <c r="AM179" s="12">
        <f t="shared" si="54"/>
        <v>-23.941000000000003</v>
      </c>
    </row>
    <row r="180" spans="1:39" x14ac:dyDescent="0.25">
      <c r="A180">
        <v>99996</v>
      </c>
      <c r="B180" t="s">
        <v>165</v>
      </c>
      <c r="C180" s="13">
        <v>135812</v>
      </c>
      <c r="D180" s="13">
        <v>4499</v>
      </c>
      <c r="E180" s="13">
        <v>5717</v>
      </c>
      <c r="F180" s="13">
        <v>13316</v>
      </c>
      <c r="G180" s="13">
        <v>33391</v>
      </c>
      <c r="H180" s="13">
        <v>7268</v>
      </c>
      <c r="J180" s="13">
        <v>130188</v>
      </c>
      <c r="K180" s="13">
        <v>3560</v>
      </c>
      <c r="L180" s="13">
        <v>4330</v>
      </c>
      <c r="M180" s="13">
        <v>14573</v>
      </c>
      <c r="N180" s="13">
        <v>38376</v>
      </c>
      <c r="O180" s="13">
        <v>9368</v>
      </c>
      <c r="Q180" s="3">
        <f t="shared" si="37"/>
        <v>5.6239999999999997</v>
      </c>
      <c r="R180" s="3">
        <f t="shared" si="38"/>
        <v>0.93899999999999995</v>
      </c>
      <c r="S180" s="3">
        <f t="shared" si="39"/>
        <v>1.387</v>
      </c>
      <c r="T180" s="3">
        <f t="shared" si="40"/>
        <v>-4.9850000000000003</v>
      </c>
      <c r="U180" s="3"/>
      <c r="V180" s="3">
        <f t="shared" si="41"/>
        <v>-1.2569999999999999</v>
      </c>
      <c r="W180" s="3">
        <f t="shared" si="42"/>
        <v>-2.1</v>
      </c>
      <c r="Y180" s="3">
        <f t="shared" si="43"/>
        <v>2.964999999999999</v>
      </c>
      <c r="Z180" s="3">
        <f t="shared" si="44"/>
        <v>-3.3570000000000002</v>
      </c>
      <c r="AA180" s="3">
        <f t="shared" si="45"/>
        <v>-0.39200000000000101</v>
      </c>
      <c r="AB180" s="3"/>
      <c r="AC180" s="2" t="str">
        <f t="shared" si="46"/>
        <v>1990-12</v>
      </c>
      <c r="AD180" s="9">
        <f t="shared" si="47"/>
        <v>11.903999999999996</v>
      </c>
      <c r="AE180" s="9">
        <f t="shared" si="48"/>
        <v>-24.348000000000003</v>
      </c>
      <c r="AF180" s="9">
        <f t="shared" si="49"/>
        <v>-12.444000000000003</v>
      </c>
      <c r="AG180" s="9"/>
      <c r="AH180" s="10">
        <v>33208</v>
      </c>
      <c r="AI180" s="9">
        <f t="shared" si="50"/>
        <v>17.917000000000002</v>
      </c>
      <c r="AJ180" s="9">
        <f t="shared" si="51"/>
        <v>6.2650000000000006</v>
      </c>
      <c r="AK180" s="9">
        <f t="shared" si="52"/>
        <v>9.6709999999999994</v>
      </c>
      <c r="AL180" s="9">
        <f t="shared" si="53"/>
        <v>-21.948999999999998</v>
      </c>
      <c r="AM180" s="12">
        <f t="shared" si="54"/>
        <v>-30.361000000000004</v>
      </c>
    </row>
    <row r="181" spans="1:39" x14ac:dyDescent="0.25">
      <c r="A181">
        <v>99996</v>
      </c>
      <c r="B181" t="s">
        <v>166</v>
      </c>
      <c r="C181" s="13">
        <v>164302</v>
      </c>
      <c r="D181" s="13">
        <v>3794</v>
      </c>
      <c r="E181" s="13">
        <v>5059</v>
      </c>
      <c r="F181" s="13">
        <v>10263</v>
      </c>
      <c r="G181" s="13">
        <v>27307</v>
      </c>
      <c r="H181" s="13">
        <v>6302</v>
      </c>
      <c r="J181" s="13">
        <v>160750</v>
      </c>
      <c r="K181" s="13">
        <v>3107</v>
      </c>
      <c r="L181" s="13">
        <v>5627</v>
      </c>
      <c r="M181" s="13">
        <v>11065</v>
      </c>
      <c r="N181" s="13">
        <v>27413</v>
      </c>
      <c r="O181" s="13">
        <v>6706</v>
      </c>
      <c r="Q181" s="3">
        <f t="shared" si="37"/>
        <v>3.552</v>
      </c>
      <c r="R181" s="3">
        <f t="shared" si="38"/>
        <v>0.68700000000000006</v>
      </c>
      <c r="S181" s="3">
        <f t="shared" si="39"/>
        <v>-0.56799999999999995</v>
      </c>
      <c r="T181" s="3">
        <f t="shared" si="40"/>
        <v>-0.106</v>
      </c>
      <c r="U181" s="3"/>
      <c r="V181" s="3">
        <f t="shared" si="41"/>
        <v>-0.80200000000000005</v>
      </c>
      <c r="W181" s="3">
        <f t="shared" si="42"/>
        <v>-0.40400000000000003</v>
      </c>
      <c r="Y181" s="3">
        <f t="shared" si="43"/>
        <v>3.5649999999999999</v>
      </c>
      <c r="Z181" s="3">
        <f t="shared" si="44"/>
        <v>-1.206</v>
      </c>
      <c r="AA181" s="3">
        <f t="shared" si="45"/>
        <v>2.359</v>
      </c>
      <c r="AB181" s="3"/>
      <c r="AC181" s="2" t="str">
        <f t="shared" si="46"/>
        <v>1991-01</v>
      </c>
      <c r="AD181" s="9">
        <f t="shared" si="47"/>
        <v>12.355999999999996</v>
      </c>
      <c r="AE181" s="9">
        <f t="shared" si="48"/>
        <v>-25.878000000000004</v>
      </c>
      <c r="AF181" s="9">
        <f t="shared" si="49"/>
        <v>-13.522000000000007</v>
      </c>
      <c r="AG181" s="9"/>
      <c r="AH181" s="10">
        <v>33239</v>
      </c>
      <c r="AI181" s="9">
        <f t="shared" si="50"/>
        <v>20.648</v>
      </c>
      <c r="AJ181" s="9">
        <f t="shared" si="51"/>
        <v>6.4119999999999999</v>
      </c>
      <c r="AK181" s="9">
        <f t="shared" si="52"/>
        <v>8.0660000000000007</v>
      </c>
      <c r="AL181" s="9">
        <f t="shared" si="53"/>
        <v>-22.77</v>
      </c>
      <c r="AM181" s="12">
        <f t="shared" si="54"/>
        <v>-34.170000000000009</v>
      </c>
    </row>
    <row r="182" spans="1:39" x14ac:dyDescent="0.25">
      <c r="A182">
        <v>99996</v>
      </c>
      <c r="B182" t="s">
        <v>167</v>
      </c>
      <c r="C182" s="13">
        <v>196727</v>
      </c>
      <c r="D182" s="13">
        <v>3066</v>
      </c>
      <c r="E182" s="13">
        <v>5385</v>
      </c>
      <c r="F182" s="13">
        <v>21712</v>
      </c>
      <c r="G182" s="13">
        <v>37193</v>
      </c>
      <c r="H182" s="13">
        <v>10638</v>
      </c>
      <c r="J182" s="13">
        <v>185186</v>
      </c>
      <c r="K182" s="13">
        <v>3955</v>
      </c>
      <c r="L182" s="13">
        <v>5402</v>
      </c>
      <c r="M182" s="13">
        <v>20619</v>
      </c>
      <c r="N182" s="13">
        <v>39183</v>
      </c>
      <c r="O182" s="13">
        <v>13894</v>
      </c>
      <c r="Q182" s="3">
        <f t="shared" si="37"/>
        <v>11.541</v>
      </c>
      <c r="R182" s="3">
        <f t="shared" si="38"/>
        <v>-0.88900000000000001</v>
      </c>
      <c r="S182" s="3">
        <f t="shared" si="39"/>
        <v>-1.7000000000000001E-2</v>
      </c>
      <c r="T182" s="3">
        <f t="shared" si="40"/>
        <v>-1.99</v>
      </c>
      <c r="U182" s="3"/>
      <c r="V182" s="3">
        <f t="shared" si="41"/>
        <v>1.093</v>
      </c>
      <c r="W182" s="3">
        <f t="shared" si="42"/>
        <v>-3.2559999999999998</v>
      </c>
      <c r="Y182" s="3">
        <f t="shared" si="43"/>
        <v>8.6450000000000014</v>
      </c>
      <c r="Z182" s="3">
        <f t="shared" si="44"/>
        <v>-2.1629999999999998</v>
      </c>
      <c r="AA182" s="3">
        <f t="shared" si="45"/>
        <v>6.4820000000000011</v>
      </c>
      <c r="AB182" s="3"/>
      <c r="AC182" s="2" t="str">
        <f t="shared" si="46"/>
        <v>1991-02</v>
      </c>
      <c r="AD182" s="9">
        <f t="shared" si="47"/>
        <v>17.908999999999999</v>
      </c>
      <c r="AE182" s="9">
        <f t="shared" si="48"/>
        <v>-26.811000000000003</v>
      </c>
      <c r="AF182" s="9">
        <f t="shared" si="49"/>
        <v>-8.9019999999999975</v>
      </c>
      <c r="AG182" s="9"/>
      <c r="AH182" s="10">
        <v>33270</v>
      </c>
      <c r="AI182" s="9">
        <f t="shared" si="50"/>
        <v>31.327999999999999</v>
      </c>
      <c r="AJ182" s="9">
        <f t="shared" si="51"/>
        <v>4.1479999999999997</v>
      </c>
      <c r="AK182" s="9">
        <f t="shared" si="52"/>
        <v>7.4110000000000005</v>
      </c>
      <c r="AL182" s="9">
        <f t="shared" si="53"/>
        <v>-24.977999999999998</v>
      </c>
      <c r="AM182" s="12">
        <f t="shared" si="54"/>
        <v>-40.229999999999997</v>
      </c>
    </row>
    <row r="183" spans="1:39" x14ac:dyDescent="0.25">
      <c r="A183">
        <v>99996</v>
      </c>
      <c r="B183" t="s">
        <v>168</v>
      </c>
      <c r="C183" s="13">
        <v>151763</v>
      </c>
      <c r="D183" s="13">
        <v>5008</v>
      </c>
      <c r="E183" s="13">
        <v>9806</v>
      </c>
      <c r="F183" s="13">
        <v>21769</v>
      </c>
      <c r="G183" s="13">
        <v>40247</v>
      </c>
      <c r="H183" s="13">
        <v>11166</v>
      </c>
      <c r="J183" s="13">
        <v>167249</v>
      </c>
      <c r="K183" s="13">
        <v>3983</v>
      </c>
      <c r="L183" s="13">
        <v>6676</v>
      </c>
      <c r="M183" s="13">
        <v>19439</v>
      </c>
      <c r="N183" s="13">
        <v>41229</v>
      </c>
      <c r="O183" s="13">
        <v>14666</v>
      </c>
      <c r="Q183" s="3">
        <f t="shared" si="37"/>
        <v>-15.486000000000001</v>
      </c>
      <c r="R183" s="3">
        <f t="shared" si="38"/>
        <v>1.0249999999999999</v>
      </c>
      <c r="S183" s="3">
        <f t="shared" si="39"/>
        <v>3.13</v>
      </c>
      <c r="T183" s="3">
        <f t="shared" si="40"/>
        <v>-0.98199999999999998</v>
      </c>
      <c r="U183" s="3"/>
      <c r="V183" s="3">
        <f t="shared" si="41"/>
        <v>2.33</v>
      </c>
      <c r="W183" s="3">
        <f t="shared" si="42"/>
        <v>-3.5</v>
      </c>
      <c r="Y183" s="3">
        <f t="shared" si="43"/>
        <v>-12.312999999999999</v>
      </c>
      <c r="Z183" s="3">
        <f t="shared" si="44"/>
        <v>-1.17</v>
      </c>
      <c r="AA183" s="3">
        <f t="shared" si="45"/>
        <v>-13.482999999999999</v>
      </c>
      <c r="AB183" s="3"/>
      <c r="AC183" s="2" t="str">
        <f t="shared" si="46"/>
        <v>1991-03</v>
      </c>
      <c r="AD183" s="9">
        <f t="shared" si="47"/>
        <v>24.04300000000001</v>
      </c>
      <c r="AE183" s="9">
        <f t="shared" si="48"/>
        <v>-25.260000000000005</v>
      </c>
      <c r="AF183" s="9">
        <f t="shared" si="49"/>
        <v>-1.2169999999999987</v>
      </c>
      <c r="AG183" s="9"/>
      <c r="AH183" s="10">
        <v>33298</v>
      </c>
      <c r="AI183" s="9">
        <f t="shared" si="50"/>
        <v>25.137999999999995</v>
      </c>
      <c r="AJ183" s="9">
        <f t="shared" si="51"/>
        <v>4.9149999999999991</v>
      </c>
      <c r="AK183" s="9">
        <f t="shared" si="52"/>
        <v>10.507999999999999</v>
      </c>
      <c r="AL183" s="9">
        <f t="shared" si="53"/>
        <v>-16.518000000000001</v>
      </c>
      <c r="AM183" s="12">
        <f t="shared" si="54"/>
        <v>-26.354999999999993</v>
      </c>
    </row>
    <row r="184" spans="1:39" x14ac:dyDescent="0.25">
      <c r="A184">
        <v>99996</v>
      </c>
      <c r="B184" t="s">
        <v>169</v>
      </c>
      <c r="C184" s="13">
        <v>170256</v>
      </c>
      <c r="D184" s="13">
        <v>2355</v>
      </c>
      <c r="E184" s="13">
        <v>7998</v>
      </c>
      <c r="F184" s="13">
        <v>20591</v>
      </c>
      <c r="G184" s="13">
        <v>20914</v>
      </c>
      <c r="H184" s="13">
        <v>8051</v>
      </c>
      <c r="J184" s="13">
        <v>168575</v>
      </c>
      <c r="K184" s="13">
        <v>2730</v>
      </c>
      <c r="L184" s="13">
        <v>6366</v>
      </c>
      <c r="M184" s="13">
        <v>17433</v>
      </c>
      <c r="N184" s="13">
        <v>21224</v>
      </c>
      <c r="O184" s="13">
        <v>10615</v>
      </c>
      <c r="Q184" s="3">
        <f t="shared" si="37"/>
        <v>1.681</v>
      </c>
      <c r="R184" s="3">
        <f t="shared" si="38"/>
        <v>-0.375</v>
      </c>
      <c r="S184" s="3">
        <f t="shared" si="39"/>
        <v>1.6319999999999999</v>
      </c>
      <c r="T184" s="3">
        <f t="shared" si="40"/>
        <v>-0.31</v>
      </c>
      <c r="U184" s="3"/>
      <c r="V184" s="3">
        <f t="shared" si="41"/>
        <v>3.1579999999999999</v>
      </c>
      <c r="W184" s="3">
        <f t="shared" si="42"/>
        <v>-2.5640000000000001</v>
      </c>
      <c r="Y184" s="3">
        <f t="shared" si="43"/>
        <v>2.6279999999999997</v>
      </c>
      <c r="Z184" s="3">
        <f t="shared" si="44"/>
        <v>0.59399999999999986</v>
      </c>
      <c r="AA184" s="3">
        <f t="shared" si="45"/>
        <v>3.2219999999999995</v>
      </c>
      <c r="AB184" s="3"/>
      <c r="AC184" s="2" t="str">
        <f t="shared" si="46"/>
        <v>1991-04</v>
      </c>
      <c r="AD184" s="9">
        <f t="shared" si="47"/>
        <v>24.67100000000001</v>
      </c>
      <c r="AE184" s="9">
        <f t="shared" si="48"/>
        <v>-22.880000000000003</v>
      </c>
      <c r="AF184" s="9">
        <f t="shared" si="49"/>
        <v>1.7910000000000021</v>
      </c>
      <c r="AG184" s="9"/>
      <c r="AH184" s="10">
        <v>33329</v>
      </c>
      <c r="AI184" s="9">
        <f t="shared" si="50"/>
        <v>23.567</v>
      </c>
      <c r="AJ184" s="9">
        <f t="shared" si="51"/>
        <v>4.9250000000000007</v>
      </c>
      <c r="AK184" s="9">
        <f t="shared" si="52"/>
        <v>11.452</v>
      </c>
      <c r="AL184" s="9">
        <f t="shared" si="53"/>
        <v>-15.273000000000001</v>
      </c>
      <c r="AM184" s="12">
        <f t="shared" si="54"/>
        <v>-21.775999999999996</v>
      </c>
    </row>
    <row r="185" spans="1:39" x14ac:dyDescent="0.25">
      <c r="A185">
        <v>99996</v>
      </c>
      <c r="B185" t="s">
        <v>170</v>
      </c>
      <c r="C185" s="13">
        <v>190212</v>
      </c>
      <c r="D185" s="13">
        <v>5395</v>
      </c>
      <c r="E185" s="13">
        <v>8942</v>
      </c>
      <c r="F185" s="13">
        <v>19222</v>
      </c>
      <c r="G185" s="13">
        <v>22132</v>
      </c>
      <c r="H185" s="13">
        <v>8702</v>
      </c>
      <c r="J185" s="13">
        <v>174988</v>
      </c>
      <c r="K185" s="13">
        <v>4837</v>
      </c>
      <c r="L185" s="13">
        <v>7231</v>
      </c>
      <c r="M185" s="13">
        <v>15883</v>
      </c>
      <c r="N185" s="13">
        <v>22635</v>
      </c>
      <c r="O185" s="13">
        <v>12070</v>
      </c>
      <c r="Q185" s="3">
        <f t="shared" si="37"/>
        <v>15.224</v>
      </c>
      <c r="R185" s="3">
        <f t="shared" si="38"/>
        <v>0.55800000000000005</v>
      </c>
      <c r="S185" s="3">
        <f t="shared" si="39"/>
        <v>1.7110000000000001</v>
      </c>
      <c r="T185" s="3">
        <f t="shared" si="40"/>
        <v>-0.503</v>
      </c>
      <c r="U185" s="3"/>
      <c r="V185" s="3">
        <f t="shared" si="41"/>
        <v>3.339</v>
      </c>
      <c r="W185" s="3">
        <f t="shared" si="42"/>
        <v>-3.3679999999999999</v>
      </c>
      <c r="Y185" s="3">
        <f t="shared" si="43"/>
        <v>16.989999999999998</v>
      </c>
      <c r="Z185" s="3">
        <f t="shared" si="44"/>
        <v>-2.8999999999999915E-2</v>
      </c>
      <c r="AA185" s="3">
        <f t="shared" si="45"/>
        <v>16.960999999999999</v>
      </c>
      <c r="AB185" s="3"/>
      <c r="AC185" s="2" t="str">
        <f t="shared" si="46"/>
        <v>1991-05</v>
      </c>
      <c r="AD185" s="9">
        <f t="shared" si="47"/>
        <v>44.669000000000004</v>
      </c>
      <c r="AE185" s="9">
        <f t="shared" si="48"/>
        <v>-17.907</v>
      </c>
      <c r="AF185" s="9">
        <f t="shared" si="49"/>
        <v>26.761999999999997</v>
      </c>
      <c r="AG185" s="9"/>
      <c r="AH185" s="10">
        <v>33359</v>
      </c>
      <c r="AI185" s="9">
        <f t="shared" si="50"/>
        <v>41.828999999999994</v>
      </c>
      <c r="AJ185" s="9">
        <f t="shared" si="51"/>
        <v>4.468</v>
      </c>
      <c r="AK185" s="9">
        <f t="shared" si="52"/>
        <v>12.462</v>
      </c>
      <c r="AL185" s="9">
        <f t="shared" si="53"/>
        <v>-14.09</v>
      </c>
      <c r="AM185" s="12">
        <f t="shared" si="54"/>
        <v>-15.066999999999997</v>
      </c>
    </row>
    <row r="186" spans="1:39" x14ac:dyDescent="0.25">
      <c r="A186">
        <v>99996</v>
      </c>
      <c r="B186" t="s">
        <v>171</v>
      </c>
      <c r="C186" s="13">
        <v>126864</v>
      </c>
      <c r="D186" s="13">
        <v>5547</v>
      </c>
      <c r="E186" s="13">
        <v>6775</v>
      </c>
      <c r="F186" s="13">
        <v>17402</v>
      </c>
      <c r="G186" s="13">
        <v>19917</v>
      </c>
      <c r="H186" s="13">
        <v>10094</v>
      </c>
      <c r="J186" s="13">
        <v>132584</v>
      </c>
      <c r="K186" s="13">
        <v>4389</v>
      </c>
      <c r="L186" s="13">
        <v>4490</v>
      </c>
      <c r="M186" s="13">
        <v>16278</v>
      </c>
      <c r="N186" s="13">
        <v>21948</v>
      </c>
      <c r="O186" s="13">
        <v>13721</v>
      </c>
      <c r="Q186" s="3">
        <f t="shared" si="37"/>
        <v>-5.72</v>
      </c>
      <c r="R186" s="3">
        <f t="shared" si="38"/>
        <v>1.1579999999999999</v>
      </c>
      <c r="S186" s="3">
        <f t="shared" si="39"/>
        <v>2.2850000000000001</v>
      </c>
      <c r="T186" s="3">
        <f t="shared" si="40"/>
        <v>-2.0310000000000001</v>
      </c>
      <c r="U186" s="3"/>
      <c r="V186" s="3">
        <f t="shared" si="41"/>
        <v>1.1240000000000001</v>
      </c>
      <c r="W186" s="3">
        <f t="shared" si="42"/>
        <v>-3.6269999999999998</v>
      </c>
      <c r="Y186" s="3">
        <f t="shared" si="43"/>
        <v>-4.3079999999999998</v>
      </c>
      <c r="Z186" s="3">
        <f t="shared" si="44"/>
        <v>-2.5029999999999997</v>
      </c>
      <c r="AA186" s="3">
        <f t="shared" si="45"/>
        <v>-6.8109999999999999</v>
      </c>
      <c r="AB186" s="3"/>
      <c r="AC186" s="2" t="str">
        <f t="shared" si="46"/>
        <v>1991-06</v>
      </c>
      <c r="AD186" s="9">
        <f t="shared" si="47"/>
        <v>34.812000000000005</v>
      </c>
      <c r="AE186" s="9">
        <f t="shared" si="48"/>
        <v>-17.077999999999999</v>
      </c>
      <c r="AF186" s="9">
        <f t="shared" si="49"/>
        <v>17.733999999999998</v>
      </c>
      <c r="AG186" s="9"/>
      <c r="AH186" s="10">
        <v>33390</v>
      </c>
      <c r="AI186" s="9">
        <f t="shared" si="50"/>
        <v>32.611000000000004</v>
      </c>
      <c r="AJ186" s="9">
        <f t="shared" si="51"/>
        <v>4.7829999999999995</v>
      </c>
      <c r="AK186" s="9">
        <f t="shared" si="52"/>
        <v>11.698</v>
      </c>
      <c r="AL186" s="9">
        <f t="shared" si="53"/>
        <v>-14.280000000000001</v>
      </c>
      <c r="AM186" s="12">
        <f t="shared" si="54"/>
        <v>-14.877000000000006</v>
      </c>
    </row>
    <row r="187" spans="1:39" x14ac:dyDescent="0.25">
      <c r="A187">
        <v>99996</v>
      </c>
      <c r="B187" t="s">
        <v>172</v>
      </c>
      <c r="C187" s="13">
        <v>153833</v>
      </c>
      <c r="D187" s="13">
        <v>4613</v>
      </c>
      <c r="E187" s="13">
        <v>5821</v>
      </c>
      <c r="F187" s="13">
        <v>16523</v>
      </c>
      <c r="G187" s="13">
        <v>22542</v>
      </c>
      <c r="H187" s="13">
        <v>10276</v>
      </c>
      <c r="J187" s="13">
        <v>152687</v>
      </c>
      <c r="K187" s="13">
        <v>3548</v>
      </c>
      <c r="L187" s="13">
        <v>4281</v>
      </c>
      <c r="M187" s="13">
        <v>15431</v>
      </c>
      <c r="N187" s="13">
        <v>23298</v>
      </c>
      <c r="O187" s="13">
        <v>13488</v>
      </c>
      <c r="Q187" s="3">
        <f t="shared" si="37"/>
        <v>1.1459999999999999</v>
      </c>
      <c r="R187" s="3">
        <f t="shared" si="38"/>
        <v>1.0649999999999999</v>
      </c>
      <c r="S187" s="3">
        <f t="shared" si="39"/>
        <v>1.54</v>
      </c>
      <c r="T187" s="3">
        <f t="shared" si="40"/>
        <v>-0.75600000000000001</v>
      </c>
      <c r="U187" s="3"/>
      <c r="V187" s="3">
        <f t="shared" si="41"/>
        <v>1.0920000000000001</v>
      </c>
      <c r="W187" s="3">
        <f t="shared" si="42"/>
        <v>-3.2120000000000002</v>
      </c>
      <c r="Y187" s="3">
        <f t="shared" si="43"/>
        <v>2.9950000000000001</v>
      </c>
      <c r="Z187" s="3">
        <f t="shared" si="44"/>
        <v>-2.12</v>
      </c>
      <c r="AA187" s="3">
        <f t="shared" si="45"/>
        <v>0.87499999999999956</v>
      </c>
      <c r="AB187" s="3"/>
      <c r="AC187" s="2" t="str">
        <f t="shared" si="46"/>
        <v>1991-07</v>
      </c>
      <c r="AD187" s="9">
        <f t="shared" si="47"/>
        <v>30.597000000000001</v>
      </c>
      <c r="AE187" s="9">
        <f t="shared" si="48"/>
        <v>-19.448</v>
      </c>
      <c r="AF187" s="9">
        <f t="shared" si="49"/>
        <v>11.149000000000001</v>
      </c>
      <c r="AG187" s="9"/>
      <c r="AH187" s="10">
        <v>33420</v>
      </c>
      <c r="AI187" s="9">
        <f t="shared" si="50"/>
        <v>28.616</v>
      </c>
      <c r="AJ187" s="9">
        <f t="shared" si="51"/>
        <v>4.6970000000000001</v>
      </c>
      <c r="AK187" s="9">
        <f t="shared" si="52"/>
        <v>11.751999999999999</v>
      </c>
      <c r="AL187" s="9">
        <f t="shared" si="53"/>
        <v>-14.468</v>
      </c>
      <c r="AM187" s="12">
        <f t="shared" si="54"/>
        <v>-17.466999999999999</v>
      </c>
    </row>
    <row r="188" spans="1:39" x14ac:dyDescent="0.25">
      <c r="A188">
        <v>99996</v>
      </c>
      <c r="B188" t="s">
        <v>173</v>
      </c>
      <c r="C188" s="13">
        <v>191140</v>
      </c>
      <c r="D188" s="13">
        <v>7233</v>
      </c>
      <c r="E188" s="13">
        <v>7761</v>
      </c>
      <c r="F188" s="13">
        <v>18112</v>
      </c>
      <c r="G188" s="13">
        <v>22414</v>
      </c>
      <c r="H188" s="13">
        <v>9685</v>
      </c>
      <c r="J188" s="13">
        <v>189909</v>
      </c>
      <c r="K188" s="13">
        <v>5649</v>
      </c>
      <c r="L188" s="13">
        <v>5183</v>
      </c>
      <c r="M188" s="13">
        <v>16318</v>
      </c>
      <c r="N188" s="13">
        <v>24877</v>
      </c>
      <c r="O188" s="13">
        <v>13238</v>
      </c>
      <c r="Q188" s="3">
        <f t="shared" si="37"/>
        <v>1.2310000000000001</v>
      </c>
      <c r="R188" s="3">
        <f t="shared" si="38"/>
        <v>1.5840000000000001</v>
      </c>
      <c r="S188" s="3">
        <f t="shared" si="39"/>
        <v>2.5779999999999998</v>
      </c>
      <c r="T188" s="3">
        <f t="shared" si="40"/>
        <v>-2.4630000000000001</v>
      </c>
      <c r="U188" s="3"/>
      <c r="V188" s="3">
        <f t="shared" si="41"/>
        <v>1.794</v>
      </c>
      <c r="W188" s="3">
        <f t="shared" si="42"/>
        <v>-3.5529999999999999</v>
      </c>
      <c r="Y188" s="3">
        <f t="shared" si="43"/>
        <v>2.9300000000000006</v>
      </c>
      <c r="Z188" s="3">
        <f t="shared" si="44"/>
        <v>-1.7589999999999999</v>
      </c>
      <c r="AA188" s="3">
        <f t="shared" si="45"/>
        <v>1.1710000000000003</v>
      </c>
      <c r="AB188" s="3"/>
      <c r="AC188" s="2" t="str">
        <f t="shared" si="46"/>
        <v>1991-08</v>
      </c>
      <c r="AD188" s="9">
        <f t="shared" si="47"/>
        <v>29.869000000000003</v>
      </c>
      <c r="AE188" s="9">
        <f t="shared" si="48"/>
        <v>-19.708000000000002</v>
      </c>
      <c r="AF188" s="9">
        <f t="shared" si="49"/>
        <v>10.160999999999998</v>
      </c>
      <c r="AG188" s="9"/>
      <c r="AH188" s="10">
        <v>33451</v>
      </c>
      <c r="AI188" s="9">
        <f t="shared" si="50"/>
        <v>25.451000000000004</v>
      </c>
      <c r="AJ188" s="9">
        <f t="shared" si="51"/>
        <v>7.0269999999999992</v>
      </c>
      <c r="AK188" s="9">
        <f t="shared" si="52"/>
        <v>14.736999999999998</v>
      </c>
      <c r="AL188" s="9">
        <f t="shared" si="53"/>
        <v>-17.346</v>
      </c>
      <c r="AM188" s="12">
        <f t="shared" si="54"/>
        <v>-15.290000000000006</v>
      </c>
    </row>
    <row r="189" spans="1:39" x14ac:dyDescent="0.25">
      <c r="A189">
        <v>99996</v>
      </c>
      <c r="B189" t="s">
        <v>174</v>
      </c>
      <c r="C189" s="13">
        <v>162552</v>
      </c>
      <c r="D189" s="13">
        <v>7782</v>
      </c>
      <c r="E189" s="13">
        <v>6714</v>
      </c>
      <c r="F189" s="13">
        <v>12918</v>
      </c>
      <c r="G189" s="13">
        <v>24522</v>
      </c>
      <c r="H189" s="13">
        <v>10015</v>
      </c>
      <c r="J189" s="13">
        <v>166613</v>
      </c>
      <c r="K189" s="13">
        <v>6128</v>
      </c>
      <c r="L189" s="13">
        <v>6184</v>
      </c>
      <c r="M189" s="13">
        <v>13662</v>
      </c>
      <c r="N189" s="13">
        <v>25369</v>
      </c>
      <c r="O189" s="13">
        <v>12213</v>
      </c>
      <c r="Q189" s="3">
        <f t="shared" si="37"/>
        <v>-4.0609999999999999</v>
      </c>
      <c r="R189" s="3">
        <f t="shared" si="38"/>
        <v>1.6539999999999999</v>
      </c>
      <c r="S189" s="3">
        <f t="shared" si="39"/>
        <v>0.53</v>
      </c>
      <c r="T189" s="3">
        <f t="shared" si="40"/>
        <v>-0.84699999999999998</v>
      </c>
      <c r="U189" s="3"/>
      <c r="V189" s="3">
        <f t="shared" si="41"/>
        <v>-0.74399999999999999</v>
      </c>
      <c r="W189" s="3">
        <f t="shared" si="42"/>
        <v>-2.198</v>
      </c>
      <c r="Y189" s="3">
        <f t="shared" si="43"/>
        <v>-2.7240000000000002</v>
      </c>
      <c r="Z189" s="3">
        <f t="shared" si="44"/>
        <v>-2.9420000000000002</v>
      </c>
      <c r="AA189" s="3">
        <f t="shared" si="45"/>
        <v>-5.6660000000000004</v>
      </c>
      <c r="AB189" s="3"/>
      <c r="AC189" s="2" t="str">
        <f t="shared" si="46"/>
        <v>1991-09</v>
      </c>
      <c r="AD189" s="9">
        <f t="shared" si="47"/>
        <v>27.716000000000001</v>
      </c>
      <c r="AE189" s="9">
        <f t="shared" si="48"/>
        <v>-20.587</v>
      </c>
      <c r="AF189" s="9">
        <f t="shared" si="49"/>
        <v>7.1289999999999978</v>
      </c>
      <c r="AG189" s="9"/>
      <c r="AH189" s="10">
        <v>33482</v>
      </c>
      <c r="AI189" s="9">
        <f t="shared" si="50"/>
        <v>19.414000000000005</v>
      </c>
      <c r="AJ189" s="9">
        <f t="shared" si="51"/>
        <v>9.6149999999999984</v>
      </c>
      <c r="AK189" s="9">
        <f t="shared" si="52"/>
        <v>16.323</v>
      </c>
      <c r="AL189" s="9">
        <f t="shared" si="53"/>
        <v>-17.636000000000003</v>
      </c>
      <c r="AM189" s="12">
        <f t="shared" si="54"/>
        <v>-12.285000000000007</v>
      </c>
    </row>
    <row r="190" spans="1:39" x14ac:dyDescent="0.25">
      <c r="A190">
        <v>99996</v>
      </c>
      <c r="B190" t="s">
        <v>175</v>
      </c>
      <c r="C190" s="13">
        <v>179125</v>
      </c>
      <c r="D190" s="13">
        <v>5768</v>
      </c>
      <c r="E190" s="13">
        <v>7093</v>
      </c>
      <c r="F190" s="13">
        <v>17392</v>
      </c>
      <c r="G190" s="13">
        <v>34890</v>
      </c>
      <c r="H190" s="13">
        <v>11424</v>
      </c>
      <c r="J190" s="13">
        <v>178511</v>
      </c>
      <c r="K190" s="13">
        <v>5716</v>
      </c>
      <c r="L190" s="13">
        <v>5032</v>
      </c>
      <c r="M190" s="13">
        <v>16958</v>
      </c>
      <c r="N190" s="13">
        <v>39551</v>
      </c>
      <c r="O190" s="13">
        <v>13831</v>
      </c>
      <c r="Q190" s="3">
        <f t="shared" si="37"/>
        <v>0.61399999999999999</v>
      </c>
      <c r="R190" s="3">
        <f t="shared" si="38"/>
        <v>5.1999999999999998E-2</v>
      </c>
      <c r="S190" s="3">
        <f t="shared" si="39"/>
        <v>2.0609999999999999</v>
      </c>
      <c r="T190" s="3">
        <f t="shared" si="40"/>
        <v>-4.6609999999999996</v>
      </c>
      <c r="U190" s="3"/>
      <c r="V190" s="3">
        <f t="shared" si="41"/>
        <v>0.434</v>
      </c>
      <c r="W190" s="3">
        <f t="shared" si="42"/>
        <v>-2.407</v>
      </c>
      <c r="Y190" s="3">
        <f t="shared" si="43"/>
        <v>-1.9339999999999997</v>
      </c>
      <c r="Z190" s="3">
        <f t="shared" si="44"/>
        <v>-1.9730000000000001</v>
      </c>
      <c r="AA190" s="3">
        <f t="shared" si="45"/>
        <v>-3.907</v>
      </c>
      <c r="AB190" s="3"/>
      <c r="AC190" s="2" t="str">
        <f t="shared" si="46"/>
        <v>1991-10</v>
      </c>
      <c r="AD190" s="9">
        <f t="shared" si="47"/>
        <v>28.703000000000003</v>
      </c>
      <c r="AE190" s="9">
        <f t="shared" si="48"/>
        <v>-18.376000000000001</v>
      </c>
      <c r="AF190" s="9">
        <f t="shared" si="49"/>
        <v>10.326999999999998</v>
      </c>
      <c r="AG190" s="9"/>
      <c r="AH190" s="10">
        <v>33512</v>
      </c>
      <c r="AI190" s="9">
        <f t="shared" si="50"/>
        <v>21.307000000000006</v>
      </c>
      <c r="AJ190" s="9">
        <f t="shared" si="51"/>
        <v>8.7459999999999987</v>
      </c>
      <c r="AK190" s="9">
        <f t="shared" si="52"/>
        <v>18.126999999999999</v>
      </c>
      <c r="AL190" s="9">
        <f t="shared" si="53"/>
        <v>-19.477</v>
      </c>
      <c r="AM190" s="12">
        <f t="shared" si="54"/>
        <v>-10.980000000000008</v>
      </c>
    </row>
    <row r="191" spans="1:39" x14ac:dyDescent="0.25">
      <c r="A191">
        <v>99996</v>
      </c>
      <c r="B191" t="s">
        <v>176</v>
      </c>
      <c r="C191" s="13">
        <v>174909</v>
      </c>
      <c r="D191" s="13">
        <v>8181</v>
      </c>
      <c r="E191" s="13">
        <v>7847</v>
      </c>
      <c r="F191" s="13">
        <v>20589</v>
      </c>
      <c r="G191" s="13">
        <v>31103</v>
      </c>
      <c r="H191" s="13">
        <v>13217</v>
      </c>
      <c r="J191" s="13">
        <v>169443</v>
      </c>
      <c r="K191" s="13">
        <v>6065</v>
      </c>
      <c r="L191" s="13">
        <v>7011</v>
      </c>
      <c r="M191" s="13">
        <v>19590</v>
      </c>
      <c r="N191" s="13">
        <v>30147</v>
      </c>
      <c r="O191" s="13">
        <v>15250</v>
      </c>
      <c r="Q191" s="3">
        <f t="shared" si="37"/>
        <v>5.4660000000000002</v>
      </c>
      <c r="R191" s="3">
        <f t="shared" si="38"/>
        <v>2.1160000000000001</v>
      </c>
      <c r="S191" s="3">
        <f t="shared" si="39"/>
        <v>0.83599999999999997</v>
      </c>
      <c r="T191" s="3">
        <f t="shared" si="40"/>
        <v>0.95599999999999996</v>
      </c>
      <c r="U191" s="3"/>
      <c r="V191" s="3">
        <f t="shared" si="41"/>
        <v>0.999</v>
      </c>
      <c r="W191" s="3">
        <f t="shared" si="42"/>
        <v>-2.0329999999999999</v>
      </c>
      <c r="Y191" s="3">
        <f t="shared" si="43"/>
        <v>9.3740000000000006</v>
      </c>
      <c r="Z191" s="3">
        <f t="shared" si="44"/>
        <v>-1.0339999999999998</v>
      </c>
      <c r="AA191" s="3">
        <f t="shared" si="45"/>
        <v>8.3400000000000016</v>
      </c>
      <c r="AB191" s="3"/>
      <c r="AC191" s="2" t="str">
        <f t="shared" si="46"/>
        <v>1991-11</v>
      </c>
      <c r="AD191" s="9">
        <f t="shared" si="47"/>
        <v>28.813000000000002</v>
      </c>
      <c r="AE191" s="9">
        <f t="shared" si="48"/>
        <v>-19.661999999999999</v>
      </c>
      <c r="AF191" s="9">
        <f t="shared" si="49"/>
        <v>9.1510000000000016</v>
      </c>
      <c r="AG191" s="9"/>
      <c r="AH191" s="10">
        <v>33543</v>
      </c>
      <c r="AI191" s="9">
        <f t="shared" si="50"/>
        <v>20.812000000000005</v>
      </c>
      <c r="AJ191" s="9">
        <f t="shared" si="51"/>
        <v>9.5739999999999981</v>
      </c>
      <c r="AK191" s="9">
        <f t="shared" si="52"/>
        <v>17.104999999999997</v>
      </c>
      <c r="AL191" s="9">
        <f t="shared" si="53"/>
        <v>-18.678000000000001</v>
      </c>
      <c r="AM191" s="12">
        <f t="shared" si="54"/>
        <v>-11.661000000000003</v>
      </c>
    </row>
    <row r="192" spans="1:39" x14ac:dyDescent="0.25">
      <c r="A192">
        <v>99996</v>
      </c>
      <c r="B192" t="s">
        <v>177</v>
      </c>
      <c r="C192" s="13">
        <v>156131</v>
      </c>
      <c r="D192" s="13">
        <v>8419</v>
      </c>
      <c r="E192" s="13">
        <v>6735</v>
      </c>
      <c r="F192" s="13">
        <v>14714</v>
      </c>
      <c r="G192" s="13">
        <v>27130</v>
      </c>
      <c r="H192" s="13">
        <v>11027</v>
      </c>
      <c r="J192" s="13">
        <v>151456</v>
      </c>
      <c r="K192" s="13">
        <v>6810</v>
      </c>
      <c r="L192" s="13">
        <v>5537</v>
      </c>
      <c r="M192" s="13">
        <v>17440</v>
      </c>
      <c r="N192" s="13">
        <v>28266</v>
      </c>
      <c r="O192" s="13">
        <v>12873</v>
      </c>
      <c r="Q192" s="3">
        <f t="shared" si="37"/>
        <v>4.6749999999999998</v>
      </c>
      <c r="R192" s="3">
        <f t="shared" si="38"/>
        <v>1.609</v>
      </c>
      <c r="S192" s="3">
        <f t="shared" si="39"/>
        <v>1.198</v>
      </c>
      <c r="T192" s="3">
        <f t="shared" si="40"/>
        <v>-1.1359999999999999</v>
      </c>
      <c r="U192" s="3"/>
      <c r="V192" s="3">
        <f t="shared" si="41"/>
        <v>-2.726</v>
      </c>
      <c r="W192" s="3">
        <f t="shared" si="42"/>
        <v>-1.8460000000000001</v>
      </c>
      <c r="Y192" s="3">
        <f t="shared" si="43"/>
        <v>6.3459999999999992</v>
      </c>
      <c r="Z192" s="3">
        <f t="shared" si="44"/>
        <v>-4.5720000000000001</v>
      </c>
      <c r="AA192" s="3">
        <f t="shared" si="45"/>
        <v>1.7739999999999991</v>
      </c>
      <c r="AB192" s="3"/>
      <c r="AC192" s="2" t="str">
        <f t="shared" si="46"/>
        <v>1991-12</v>
      </c>
      <c r="AD192" s="9">
        <f t="shared" si="47"/>
        <v>32.193999999999996</v>
      </c>
      <c r="AE192" s="9">
        <f t="shared" si="48"/>
        <v>-20.876999999999999</v>
      </c>
      <c r="AF192" s="9">
        <f t="shared" si="49"/>
        <v>11.317</v>
      </c>
      <c r="AG192" s="9"/>
      <c r="AH192" s="10">
        <v>33573</v>
      </c>
      <c r="AI192" s="9">
        <f t="shared" si="50"/>
        <v>19.863000000000003</v>
      </c>
      <c r="AJ192" s="9">
        <f t="shared" si="51"/>
        <v>10.244</v>
      </c>
      <c r="AK192" s="9">
        <f t="shared" si="52"/>
        <v>16.916</v>
      </c>
      <c r="AL192" s="9">
        <f t="shared" si="53"/>
        <v>-14.829000000000001</v>
      </c>
      <c r="AM192" s="12">
        <f t="shared" si="54"/>
        <v>-8.5460000000000029</v>
      </c>
    </row>
    <row r="193" spans="1:39" x14ac:dyDescent="0.25">
      <c r="A193">
        <v>99996</v>
      </c>
      <c r="B193" t="s">
        <v>178</v>
      </c>
      <c r="C193" s="13">
        <v>213012</v>
      </c>
      <c r="D193" s="13">
        <v>8617</v>
      </c>
      <c r="E193" s="13">
        <v>7869</v>
      </c>
      <c r="F193" s="13">
        <v>23351</v>
      </c>
      <c r="G193" s="13">
        <v>38341</v>
      </c>
      <c r="H193" s="13">
        <v>12532</v>
      </c>
      <c r="J193" s="13">
        <v>201747</v>
      </c>
      <c r="K193" s="13">
        <v>7817</v>
      </c>
      <c r="L193" s="13">
        <v>6511</v>
      </c>
      <c r="M193" s="13">
        <v>25963</v>
      </c>
      <c r="N193" s="13">
        <v>38898</v>
      </c>
      <c r="O193" s="13">
        <v>15114</v>
      </c>
      <c r="Q193" s="3">
        <f t="shared" si="37"/>
        <v>11.265000000000001</v>
      </c>
      <c r="R193" s="3">
        <f t="shared" si="38"/>
        <v>0.8</v>
      </c>
      <c r="S193" s="3">
        <f t="shared" si="39"/>
        <v>1.3580000000000001</v>
      </c>
      <c r="T193" s="3">
        <f t="shared" si="40"/>
        <v>-0.55700000000000005</v>
      </c>
      <c r="U193" s="3"/>
      <c r="V193" s="3">
        <f t="shared" si="41"/>
        <v>-2.6120000000000001</v>
      </c>
      <c r="W193" s="3">
        <f t="shared" si="42"/>
        <v>-2.5819999999999999</v>
      </c>
      <c r="Y193" s="3">
        <f t="shared" si="43"/>
        <v>12.866000000000001</v>
      </c>
      <c r="Z193" s="3">
        <f t="shared" si="44"/>
        <v>-5.194</v>
      </c>
      <c r="AA193" s="3">
        <f t="shared" si="45"/>
        <v>7.6720000000000015</v>
      </c>
      <c r="AB193" s="3"/>
      <c r="AC193" s="2" t="str">
        <f t="shared" si="46"/>
        <v>1992-01</v>
      </c>
      <c r="AD193" s="9">
        <f t="shared" si="47"/>
        <v>41.495000000000005</v>
      </c>
      <c r="AE193" s="9">
        <f t="shared" si="48"/>
        <v>-24.864999999999998</v>
      </c>
      <c r="AF193" s="9">
        <f t="shared" si="49"/>
        <v>16.630000000000003</v>
      </c>
      <c r="AG193" s="9"/>
      <c r="AH193" s="10">
        <v>33604</v>
      </c>
      <c r="AI193" s="9">
        <f t="shared" si="50"/>
        <v>27.576000000000001</v>
      </c>
      <c r="AJ193" s="9">
        <f t="shared" si="51"/>
        <v>10.356999999999999</v>
      </c>
      <c r="AK193" s="9">
        <f t="shared" si="52"/>
        <v>18.841999999999999</v>
      </c>
      <c r="AL193" s="9">
        <f t="shared" si="53"/>
        <v>-15.28</v>
      </c>
      <c r="AM193" s="12">
        <f t="shared" si="54"/>
        <v>-10.945999999999998</v>
      </c>
    </row>
    <row r="194" spans="1:39" x14ac:dyDescent="0.25">
      <c r="A194">
        <v>99996</v>
      </c>
      <c r="B194" t="s">
        <v>179</v>
      </c>
      <c r="C194" s="13">
        <v>170115</v>
      </c>
      <c r="D194" s="13">
        <v>8421</v>
      </c>
      <c r="E194" s="13">
        <v>10020</v>
      </c>
      <c r="F194" s="13">
        <v>21472</v>
      </c>
      <c r="G194" s="13">
        <v>34780</v>
      </c>
      <c r="H194" s="13">
        <v>10657</v>
      </c>
      <c r="J194" s="13">
        <v>165483</v>
      </c>
      <c r="K194" s="13">
        <v>7723</v>
      </c>
      <c r="L194" s="13">
        <v>7438</v>
      </c>
      <c r="M194" s="13">
        <v>21252</v>
      </c>
      <c r="N194" s="13">
        <v>34459</v>
      </c>
      <c r="O194" s="13">
        <v>12951</v>
      </c>
      <c r="Q194" s="3">
        <f t="shared" si="37"/>
        <v>4.6319999999999997</v>
      </c>
      <c r="R194" s="3">
        <f t="shared" si="38"/>
        <v>0.69799999999999995</v>
      </c>
      <c r="S194" s="3">
        <f t="shared" si="39"/>
        <v>2.5819999999999999</v>
      </c>
      <c r="T194" s="3">
        <f t="shared" si="40"/>
        <v>0.32100000000000001</v>
      </c>
      <c r="U194" s="3"/>
      <c r="V194" s="3">
        <f t="shared" si="41"/>
        <v>0.22</v>
      </c>
      <c r="W194" s="3">
        <f t="shared" si="42"/>
        <v>-2.294</v>
      </c>
      <c r="Y194" s="3">
        <f t="shared" si="43"/>
        <v>8.2330000000000005</v>
      </c>
      <c r="Z194" s="3">
        <f t="shared" si="44"/>
        <v>-2.0739999999999998</v>
      </c>
      <c r="AA194" s="3">
        <f t="shared" si="45"/>
        <v>6.1590000000000007</v>
      </c>
      <c r="AB194" s="3"/>
      <c r="AC194" s="2" t="str">
        <f t="shared" si="46"/>
        <v>1992-02</v>
      </c>
      <c r="AD194" s="9">
        <f t="shared" si="47"/>
        <v>41.082999999999998</v>
      </c>
      <c r="AE194" s="9">
        <f t="shared" si="48"/>
        <v>-24.775999999999996</v>
      </c>
      <c r="AF194" s="9">
        <f t="shared" si="49"/>
        <v>16.307000000000002</v>
      </c>
      <c r="AG194" s="9"/>
      <c r="AH194" s="10">
        <v>33635</v>
      </c>
      <c r="AI194" s="9">
        <f t="shared" si="50"/>
        <v>20.667000000000002</v>
      </c>
      <c r="AJ194" s="9">
        <f t="shared" si="51"/>
        <v>11.944000000000001</v>
      </c>
      <c r="AK194" s="9">
        <f t="shared" si="52"/>
        <v>21.440999999999999</v>
      </c>
      <c r="AL194" s="9">
        <f t="shared" si="53"/>
        <v>-12.968999999999999</v>
      </c>
      <c r="AM194" s="12">
        <f t="shared" si="54"/>
        <v>-4.3599999999999994</v>
      </c>
    </row>
    <row r="195" spans="1:39" x14ac:dyDescent="0.25">
      <c r="A195">
        <v>99996</v>
      </c>
      <c r="B195" t="s">
        <v>180</v>
      </c>
      <c r="C195" s="13">
        <v>192563</v>
      </c>
      <c r="D195" s="13">
        <v>9361</v>
      </c>
      <c r="E195" s="13">
        <v>8061</v>
      </c>
      <c r="F195" s="13">
        <v>18910</v>
      </c>
      <c r="G195" s="13">
        <v>34860</v>
      </c>
      <c r="H195" s="13">
        <v>13049</v>
      </c>
      <c r="J195" s="13">
        <v>202029</v>
      </c>
      <c r="K195" s="13">
        <v>7676</v>
      </c>
      <c r="L195" s="13">
        <v>6912</v>
      </c>
      <c r="M195" s="13">
        <v>19468</v>
      </c>
      <c r="N195" s="13">
        <v>35122</v>
      </c>
      <c r="O195" s="13">
        <v>15833</v>
      </c>
      <c r="Q195" s="3">
        <f t="shared" si="37"/>
        <v>-9.4659999999999993</v>
      </c>
      <c r="R195" s="3">
        <f t="shared" si="38"/>
        <v>1.6850000000000001</v>
      </c>
      <c r="S195" s="3">
        <f t="shared" si="39"/>
        <v>1.149</v>
      </c>
      <c r="T195" s="3">
        <f t="shared" si="40"/>
        <v>-0.26200000000000001</v>
      </c>
      <c r="U195" s="3"/>
      <c r="V195" s="3">
        <f t="shared" si="41"/>
        <v>-0.55800000000000005</v>
      </c>
      <c r="W195" s="3">
        <f t="shared" si="42"/>
        <v>-2.7839999999999998</v>
      </c>
      <c r="Y195" s="3">
        <f t="shared" si="43"/>
        <v>-6.8939999999999984</v>
      </c>
      <c r="Z195" s="3">
        <f t="shared" si="44"/>
        <v>-3.3419999999999996</v>
      </c>
      <c r="AA195" s="3">
        <f t="shared" si="45"/>
        <v>-10.235999999999997</v>
      </c>
      <c r="AB195" s="3"/>
      <c r="AC195" s="2" t="str">
        <f t="shared" si="46"/>
        <v>1992-03</v>
      </c>
      <c r="AD195" s="9">
        <f t="shared" si="47"/>
        <v>46.502000000000002</v>
      </c>
      <c r="AE195" s="9">
        <f t="shared" si="48"/>
        <v>-26.948</v>
      </c>
      <c r="AF195" s="9">
        <f t="shared" si="49"/>
        <v>19.554000000000002</v>
      </c>
      <c r="AG195" s="9"/>
      <c r="AH195" s="10">
        <v>33664</v>
      </c>
      <c r="AI195" s="9">
        <f t="shared" si="50"/>
        <v>26.687000000000005</v>
      </c>
      <c r="AJ195" s="9">
        <f t="shared" si="51"/>
        <v>12.604000000000001</v>
      </c>
      <c r="AK195" s="9">
        <f t="shared" si="52"/>
        <v>19.46</v>
      </c>
      <c r="AL195" s="9">
        <f t="shared" si="53"/>
        <v>-12.249000000000001</v>
      </c>
      <c r="AM195" s="12">
        <f t="shared" si="54"/>
        <v>-7.1330000000000027</v>
      </c>
    </row>
    <row r="196" spans="1:39" x14ac:dyDescent="0.25">
      <c r="A196">
        <v>99996</v>
      </c>
      <c r="B196" t="s">
        <v>181</v>
      </c>
      <c r="C196" s="13">
        <v>172638</v>
      </c>
      <c r="D196" s="13">
        <v>9413</v>
      </c>
      <c r="E196" s="13">
        <v>7325</v>
      </c>
      <c r="F196" s="13">
        <v>17560</v>
      </c>
      <c r="G196" s="13">
        <v>31261</v>
      </c>
      <c r="H196" s="13">
        <v>11376</v>
      </c>
      <c r="J196" s="13">
        <v>166079</v>
      </c>
      <c r="K196" s="13">
        <v>6748</v>
      </c>
      <c r="L196" s="13">
        <v>4923</v>
      </c>
      <c r="M196" s="13">
        <v>18062</v>
      </c>
      <c r="N196" s="13">
        <v>32503</v>
      </c>
      <c r="O196" s="13">
        <v>13674</v>
      </c>
      <c r="Q196" s="3">
        <f t="shared" si="37"/>
        <v>6.5590000000000002</v>
      </c>
      <c r="R196" s="3">
        <f t="shared" si="38"/>
        <v>2.665</v>
      </c>
      <c r="S196" s="3">
        <f t="shared" si="39"/>
        <v>2.4020000000000001</v>
      </c>
      <c r="T196" s="3">
        <f t="shared" si="40"/>
        <v>-1.242</v>
      </c>
      <c r="U196" s="3"/>
      <c r="V196" s="3">
        <f t="shared" si="41"/>
        <v>-0.502</v>
      </c>
      <c r="W196" s="3">
        <f t="shared" si="42"/>
        <v>-2.298</v>
      </c>
      <c r="Y196" s="3">
        <f t="shared" si="43"/>
        <v>10.384</v>
      </c>
      <c r="Z196" s="3">
        <f t="shared" si="44"/>
        <v>-2.8</v>
      </c>
      <c r="AA196" s="3">
        <f t="shared" si="45"/>
        <v>7.5839999999999996</v>
      </c>
      <c r="AB196" s="3"/>
      <c r="AC196" s="2" t="str">
        <f t="shared" si="46"/>
        <v>1992-04</v>
      </c>
      <c r="AD196" s="9">
        <f t="shared" si="47"/>
        <v>54.258000000000003</v>
      </c>
      <c r="AE196" s="9">
        <f t="shared" si="48"/>
        <v>-30.341999999999995</v>
      </c>
      <c r="AF196" s="9">
        <f t="shared" si="49"/>
        <v>23.916</v>
      </c>
      <c r="AG196" s="9"/>
      <c r="AH196" s="10">
        <v>33695</v>
      </c>
      <c r="AI196" s="9">
        <f t="shared" si="50"/>
        <v>31.565000000000001</v>
      </c>
      <c r="AJ196" s="9">
        <f t="shared" si="51"/>
        <v>15.644000000000002</v>
      </c>
      <c r="AK196" s="9">
        <f t="shared" si="52"/>
        <v>20.230000000000004</v>
      </c>
      <c r="AL196" s="9">
        <f t="shared" si="53"/>
        <v>-13.181000000000001</v>
      </c>
      <c r="AM196" s="12">
        <f t="shared" si="54"/>
        <v>-7.6490000000000009</v>
      </c>
    </row>
    <row r="197" spans="1:39" x14ac:dyDescent="0.25">
      <c r="A197">
        <v>99996</v>
      </c>
      <c r="B197" t="s">
        <v>182</v>
      </c>
      <c r="C197" s="13">
        <v>159031</v>
      </c>
      <c r="D197" s="13">
        <v>9030</v>
      </c>
      <c r="E197" s="13">
        <v>8514</v>
      </c>
      <c r="F197" s="13">
        <v>18694</v>
      </c>
      <c r="G197" s="13">
        <v>34947</v>
      </c>
      <c r="H197" s="13">
        <v>13917</v>
      </c>
      <c r="J197" s="13">
        <v>166957</v>
      </c>
      <c r="K197" s="13">
        <v>7098</v>
      </c>
      <c r="L197" s="13">
        <v>6136</v>
      </c>
      <c r="M197" s="13">
        <v>18623</v>
      </c>
      <c r="N197" s="13">
        <v>37152</v>
      </c>
      <c r="O197" s="13">
        <v>14837</v>
      </c>
      <c r="Q197" s="3">
        <f t="shared" si="37"/>
        <v>-7.9260000000000002</v>
      </c>
      <c r="R197" s="3">
        <f t="shared" si="38"/>
        <v>1.9319999999999999</v>
      </c>
      <c r="S197" s="3">
        <f t="shared" si="39"/>
        <v>2.3780000000000001</v>
      </c>
      <c r="T197" s="3">
        <f t="shared" si="40"/>
        <v>-2.2050000000000001</v>
      </c>
      <c r="U197" s="3"/>
      <c r="V197" s="3">
        <f t="shared" si="41"/>
        <v>7.0999999999999994E-2</v>
      </c>
      <c r="W197" s="3">
        <f t="shared" si="42"/>
        <v>-0.92</v>
      </c>
      <c r="Y197" s="3">
        <f t="shared" si="43"/>
        <v>-5.8209999999999997</v>
      </c>
      <c r="Z197" s="3">
        <f t="shared" si="44"/>
        <v>-0.84900000000000009</v>
      </c>
      <c r="AA197" s="3">
        <f t="shared" si="45"/>
        <v>-6.67</v>
      </c>
      <c r="AB197" s="3"/>
      <c r="AC197" s="2" t="str">
        <f t="shared" si="46"/>
        <v>1992-05</v>
      </c>
      <c r="AD197" s="9">
        <f t="shared" si="47"/>
        <v>31.44700000000001</v>
      </c>
      <c r="AE197" s="9">
        <f t="shared" si="48"/>
        <v>-31.161999999999999</v>
      </c>
      <c r="AF197" s="9">
        <f t="shared" si="49"/>
        <v>0.28500000000000547</v>
      </c>
      <c r="AG197" s="9"/>
      <c r="AH197" s="10">
        <v>33725</v>
      </c>
      <c r="AI197" s="9">
        <f t="shared" si="50"/>
        <v>8.4149999999999974</v>
      </c>
      <c r="AJ197" s="9">
        <f t="shared" si="51"/>
        <v>17.018000000000001</v>
      </c>
      <c r="AK197" s="9">
        <f t="shared" si="52"/>
        <v>20.897000000000002</v>
      </c>
      <c r="AL197" s="9">
        <f t="shared" si="53"/>
        <v>-14.883000000000001</v>
      </c>
      <c r="AM197" s="12">
        <f t="shared" si="54"/>
        <v>-8.1299999999999919</v>
      </c>
    </row>
    <row r="198" spans="1:39" x14ac:dyDescent="0.25">
      <c r="A198">
        <v>99996</v>
      </c>
      <c r="B198" t="s">
        <v>183</v>
      </c>
      <c r="C198" s="13">
        <v>185252</v>
      </c>
      <c r="D198" s="13">
        <v>7498</v>
      </c>
      <c r="E198" s="13">
        <v>9197</v>
      </c>
      <c r="F198" s="13">
        <v>16557</v>
      </c>
      <c r="G198" s="13">
        <v>41611</v>
      </c>
      <c r="H198" s="13">
        <v>14650</v>
      </c>
      <c r="J198" s="13">
        <v>170796</v>
      </c>
      <c r="K198" s="13">
        <v>5415</v>
      </c>
      <c r="L198" s="13">
        <v>6982</v>
      </c>
      <c r="M198" s="13">
        <v>17569</v>
      </c>
      <c r="N198" s="13">
        <v>43086</v>
      </c>
      <c r="O198" s="13">
        <v>14600</v>
      </c>
      <c r="Q198" s="3">
        <f t="shared" si="37"/>
        <v>14.456</v>
      </c>
      <c r="R198" s="3">
        <f t="shared" si="38"/>
        <v>2.0830000000000002</v>
      </c>
      <c r="S198" s="3">
        <f t="shared" si="39"/>
        <v>2.2149999999999999</v>
      </c>
      <c r="T198" s="3">
        <f t="shared" si="40"/>
        <v>-1.4750000000000001</v>
      </c>
      <c r="U198" s="3"/>
      <c r="V198" s="3">
        <f t="shared" si="41"/>
        <v>-1.012</v>
      </c>
      <c r="W198" s="3">
        <f t="shared" si="42"/>
        <v>0.05</v>
      </c>
      <c r="Y198" s="3">
        <f t="shared" si="43"/>
        <v>17.279</v>
      </c>
      <c r="Z198" s="3">
        <f t="shared" si="44"/>
        <v>-0.96199999999999997</v>
      </c>
      <c r="AA198" s="3">
        <f t="shared" si="45"/>
        <v>16.317</v>
      </c>
      <c r="AB198" s="3"/>
      <c r="AC198" s="2" t="str">
        <f t="shared" si="46"/>
        <v>1992-06</v>
      </c>
      <c r="AD198" s="9">
        <f t="shared" si="47"/>
        <v>53.034000000000006</v>
      </c>
      <c r="AE198" s="9">
        <f t="shared" si="48"/>
        <v>-29.620999999999999</v>
      </c>
      <c r="AF198" s="9">
        <f t="shared" si="49"/>
        <v>23.413000000000004</v>
      </c>
      <c r="AG198" s="9"/>
      <c r="AH198" s="10">
        <v>33756</v>
      </c>
      <c r="AI198" s="9">
        <f t="shared" si="50"/>
        <v>28.590999999999994</v>
      </c>
      <c r="AJ198" s="9">
        <f t="shared" si="51"/>
        <v>17.943000000000001</v>
      </c>
      <c r="AK198" s="9">
        <f t="shared" si="52"/>
        <v>20.827000000000002</v>
      </c>
      <c r="AL198" s="9">
        <f t="shared" si="53"/>
        <v>-14.327000000000002</v>
      </c>
      <c r="AM198" s="12">
        <f t="shared" si="54"/>
        <v>-5.1779999999999902</v>
      </c>
    </row>
    <row r="199" spans="1:39" x14ac:dyDescent="0.25">
      <c r="A199">
        <v>99996</v>
      </c>
      <c r="B199" t="s">
        <v>184</v>
      </c>
      <c r="C199" s="13">
        <v>225050</v>
      </c>
      <c r="D199" s="13">
        <v>8807</v>
      </c>
      <c r="E199" s="13">
        <v>9392</v>
      </c>
      <c r="F199" s="13">
        <v>18537</v>
      </c>
      <c r="G199" s="13">
        <v>45073</v>
      </c>
      <c r="H199" s="13">
        <v>13502</v>
      </c>
      <c r="J199" s="13">
        <v>226911</v>
      </c>
      <c r="K199" s="13">
        <v>8907</v>
      </c>
      <c r="L199" s="13">
        <v>7431</v>
      </c>
      <c r="M199" s="13">
        <v>18754</v>
      </c>
      <c r="N199" s="13">
        <v>49103</v>
      </c>
      <c r="O199" s="13">
        <v>16748</v>
      </c>
      <c r="Q199" s="3">
        <f t="shared" si="37"/>
        <v>-1.861</v>
      </c>
      <c r="R199" s="3">
        <f t="shared" si="38"/>
        <v>-0.1</v>
      </c>
      <c r="S199" s="3">
        <f t="shared" si="39"/>
        <v>1.9610000000000001</v>
      </c>
      <c r="T199" s="3">
        <f t="shared" si="40"/>
        <v>-4.03</v>
      </c>
      <c r="U199" s="3"/>
      <c r="V199" s="3">
        <f t="shared" si="41"/>
        <v>-0.217</v>
      </c>
      <c r="W199" s="3">
        <f t="shared" si="42"/>
        <v>-3.246</v>
      </c>
      <c r="Y199" s="3">
        <f t="shared" si="43"/>
        <v>-4.03</v>
      </c>
      <c r="Z199" s="3">
        <f t="shared" si="44"/>
        <v>-3.4630000000000001</v>
      </c>
      <c r="AA199" s="3">
        <f t="shared" si="45"/>
        <v>-7.4930000000000003</v>
      </c>
      <c r="AB199" s="3"/>
      <c r="AC199" s="2" t="str">
        <f t="shared" si="46"/>
        <v>1992-07</v>
      </c>
      <c r="AD199" s="9">
        <f t="shared" si="47"/>
        <v>46.009000000000015</v>
      </c>
      <c r="AE199" s="9">
        <f t="shared" si="48"/>
        <v>-30.964000000000002</v>
      </c>
      <c r="AF199" s="9">
        <f t="shared" si="49"/>
        <v>15.045000000000003</v>
      </c>
      <c r="AG199" s="9"/>
      <c r="AH199" s="10">
        <v>33786</v>
      </c>
      <c r="AI199" s="9">
        <f t="shared" si="50"/>
        <v>25.584</v>
      </c>
      <c r="AJ199" s="9">
        <f t="shared" si="51"/>
        <v>16.777999999999999</v>
      </c>
      <c r="AK199" s="9">
        <f t="shared" si="52"/>
        <v>21.248000000000001</v>
      </c>
      <c r="AL199" s="9">
        <f t="shared" si="53"/>
        <v>-17.601000000000003</v>
      </c>
      <c r="AM199" s="12">
        <f t="shared" si="54"/>
        <v>-10.538999999999996</v>
      </c>
    </row>
    <row r="200" spans="1:39" x14ac:dyDescent="0.25">
      <c r="A200">
        <v>99996</v>
      </c>
      <c r="B200" t="s">
        <v>185</v>
      </c>
      <c r="C200" s="13">
        <v>206513</v>
      </c>
      <c r="D200" s="13">
        <v>10711</v>
      </c>
      <c r="E200" s="13">
        <v>8923</v>
      </c>
      <c r="F200" s="13">
        <v>13175</v>
      </c>
      <c r="G200" s="13">
        <v>47125</v>
      </c>
      <c r="H200" s="13">
        <v>9785</v>
      </c>
      <c r="J200" s="13">
        <v>200060</v>
      </c>
      <c r="K200" s="13">
        <v>9831</v>
      </c>
      <c r="L200" s="13">
        <v>6792</v>
      </c>
      <c r="M200" s="13">
        <v>14828</v>
      </c>
      <c r="N200" s="13">
        <v>47598</v>
      </c>
      <c r="O200" s="13">
        <v>12733</v>
      </c>
      <c r="Q200" s="3">
        <f t="shared" si="37"/>
        <v>6.4530000000000003</v>
      </c>
      <c r="R200" s="3">
        <f t="shared" si="38"/>
        <v>0.88</v>
      </c>
      <c r="S200" s="3">
        <f t="shared" si="39"/>
        <v>2.1309999999999998</v>
      </c>
      <c r="T200" s="3">
        <f t="shared" si="40"/>
        <v>-0.47299999999999998</v>
      </c>
      <c r="U200" s="3"/>
      <c r="V200" s="3">
        <f t="shared" si="41"/>
        <v>-1.653</v>
      </c>
      <c r="W200" s="3">
        <f t="shared" si="42"/>
        <v>-2.948</v>
      </c>
      <c r="Y200" s="3">
        <f t="shared" si="43"/>
        <v>8.9909999999999997</v>
      </c>
      <c r="Z200" s="3">
        <f t="shared" si="44"/>
        <v>-4.601</v>
      </c>
      <c r="AA200" s="3">
        <f t="shared" si="45"/>
        <v>4.3899999999999988</v>
      </c>
      <c r="AB200" s="3"/>
      <c r="AC200" s="2" t="str">
        <f t="shared" si="46"/>
        <v>1992-08</v>
      </c>
      <c r="AD200" s="9">
        <f t="shared" si="47"/>
        <v>52.070000000000007</v>
      </c>
      <c r="AE200" s="9">
        <f t="shared" si="48"/>
        <v>-33.806000000000004</v>
      </c>
      <c r="AF200" s="9">
        <f t="shared" si="49"/>
        <v>18.264000000000003</v>
      </c>
      <c r="AG200" s="9"/>
      <c r="AH200" s="10">
        <v>33817</v>
      </c>
      <c r="AI200" s="9">
        <f t="shared" si="50"/>
        <v>30.805999999999997</v>
      </c>
      <c r="AJ200" s="9">
        <f t="shared" si="51"/>
        <v>16.074000000000002</v>
      </c>
      <c r="AK200" s="9">
        <f t="shared" si="52"/>
        <v>20.801000000000002</v>
      </c>
      <c r="AL200" s="9">
        <f t="shared" si="53"/>
        <v>-15.610999999999999</v>
      </c>
      <c r="AM200" s="12">
        <f t="shared" si="54"/>
        <v>-12.541999999999994</v>
      </c>
    </row>
    <row r="201" spans="1:39" x14ac:dyDescent="0.25">
      <c r="A201">
        <v>99996</v>
      </c>
      <c r="B201" t="s">
        <v>186</v>
      </c>
      <c r="C201" s="13">
        <v>187909</v>
      </c>
      <c r="D201" s="13">
        <v>8230</v>
      </c>
      <c r="E201" s="13">
        <v>8892</v>
      </c>
      <c r="F201" s="13">
        <v>13869</v>
      </c>
      <c r="G201" s="13">
        <v>51559</v>
      </c>
      <c r="H201" s="13">
        <v>13636</v>
      </c>
      <c r="J201" s="13">
        <v>193922</v>
      </c>
      <c r="K201" s="13">
        <v>7564</v>
      </c>
      <c r="L201" s="13">
        <v>6813</v>
      </c>
      <c r="M201" s="13">
        <v>17023</v>
      </c>
      <c r="N201" s="13">
        <v>50391</v>
      </c>
      <c r="O201" s="13">
        <v>16535</v>
      </c>
      <c r="Q201" s="3">
        <f t="shared" si="37"/>
        <v>-6.0129999999999999</v>
      </c>
      <c r="R201" s="3">
        <f t="shared" si="38"/>
        <v>0.66600000000000004</v>
      </c>
      <c r="S201" s="3">
        <f t="shared" si="39"/>
        <v>2.0790000000000002</v>
      </c>
      <c r="T201" s="3">
        <f t="shared" si="40"/>
        <v>1.1679999999999999</v>
      </c>
      <c r="U201" s="3"/>
      <c r="V201" s="3">
        <f t="shared" si="41"/>
        <v>-3.1539999999999999</v>
      </c>
      <c r="W201" s="3">
        <f t="shared" si="42"/>
        <v>-2.899</v>
      </c>
      <c r="Y201" s="3">
        <f t="shared" si="43"/>
        <v>-2.0999999999999996</v>
      </c>
      <c r="Z201" s="3">
        <f t="shared" si="44"/>
        <v>-6.0529999999999999</v>
      </c>
      <c r="AA201" s="3">
        <f t="shared" si="45"/>
        <v>-8.1529999999999987</v>
      </c>
      <c r="AB201" s="3"/>
      <c r="AC201" s="2" t="str">
        <f t="shared" si="46"/>
        <v>1992-09</v>
      </c>
      <c r="AD201" s="9">
        <f t="shared" si="47"/>
        <v>52.69400000000001</v>
      </c>
      <c r="AE201" s="9">
        <f t="shared" si="48"/>
        <v>-36.917000000000002</v>
      </c>
      <c r="AF201" s="9">
        <f t="shared" si="49"/>
        <v>15.777000000000008</v>
      </c>
      <c r="AG201" s="9"/>
      <c r="AH201" s="10">
        <v>33848</v>
      </c>
      <c r="AI201" s="9">
        <f t="shared" si="50"/>
        <v>28.853999999999999</v>
      </c>
      <c r="AJ201" s="9">
        <f t="shared" si="51"/>
        <v>15.086000000000002</v>
      </c>
      <c r="AK201" s="9">
        <f t="shared" si="52"/>
        <v>22.35</v>
      </c>
      <c r="AL201" s="9">
        <f t="shared" si="53"/>
        <v>-13.596000000000002</v>
      </c>
      <c r="AM201" s="12">
        <f t="shared" si="54"/>
        <v>-13.076999999999991</v>
      </c>
    </row>
    <row r="202" spans="1:39" x14ac:dyDescent="0.25">
      <c r="A202">
        <v>99996</v>
      </c>
      <c r="B202" t="s">
        <v>187</v>
      </c>
      <c r="C202" s="13">
        <v>189828</v>
      </c>
      <c r="D202" s="13">
        <v>10751</v>
      </c>
      <c r="E202" s="13">
        <v>8558</v>
      </c>
      <c r="F202" s="13">
        <v>18794</v>
      </c>
      <c r="G202" s="13">
        <v>54421</v>
      </c>
      <c r="H202" s="13">
        <v>12478</v>
      </c>
      <c r="J202" s="13">
        <v>186284</v>
      </c>
      <c r="K202" s="13">
        <v>7523</v>
      </c>
      <c r="L202" s="13">
        <v>7716</v>
      </c>
      <c r="M202" s="13">
        <v>18145</v>
      </c>
      <c r="N202" s="13">
        <v>55893</v>
      </c>
      <c r="O202" s="13">
        <v>16742</v>
      </c>
      <c r="Q202" s="3">
        <f t="shared" si="37"/>
        <v>3.544</v>
      </c>
      <c r="R202" s="3">
        <f t="shared" si="38"/>
        <v>3.2280000000000002</v>
      </c>
      <c r="S202" s="3">
        <f t="shared" si="39"/>
        <v>0.84199999999999997</v>
      </c>
      <c r="T202" s="3">
        <f t="shared" si="40"/>
        <v>-1.472</v>
      </c>
      <c r="U202" s="3"/>
      <c r="V202" s="3">
        <f t="shared" si="41"/>
        <v>0.64900000000000002</v>
      </c>
      <c r="W202" s="3">
        <f t="shared" si="42"/>
        <v>-4.2640000000000002</v>
      </c>
      <c r="Y202" s="3">
        <f t="shared" si="43"/>
        <v>6.1419999999999995</v>
      </c>
      <c r="Z202" s="3">
        <f t="shared" si="44"/>
        <v>-3.6150000000000002</v>
      </c>
      <c r="AA202" s="3">
        <f t="shared" si="45"/>
        <v>2.5269999999999992</v>
      </c>
      <c r="AB202" s="3"/>
      <c r="AC202" s="2" t="str">
        <f t="shared" si="46"/>
        <v>1992-10</v>
      </c>
      <c r="AD202" s="9">
        <f t="shared" si="47"/>
        <v>60.77000000000001</v>
      </c>
      <c r="AE202" s="9">
        <f t="shared" si="48"/>
        <v>-38.559000000000005</v>
      </c>
      <c r="AF202" s="9">
        <f t="shared" si="49"/>
        <v>22.211000000000006</v>
      </c>
      <c r="AG202" s="9"/>
      <c r="AH202" s="10">
        <v>33878</v>
      </c>
      <c r="AI202" s="9">
        <f t="shared" si="50"/>
        <v>31.783999999999995</v>
      </c>
      <c r="AJ202" s="9">
        <f t="shared" si="51"/>
        <v>18.262000000000004</v>
      </c>
      <c r="AK202" s="9">
        <f t="shared" si="52"/>
        <v>21.131</v>
      </c>
      <c r="AL202" s="9">
        <f t="shared" si="53"/>
        <v>-10.407</v>
      </c>
      <c r="AM202" s="12">
        <f t="shared" si="54"/>
        <v>-9.5729999999999897</v>
      </c>
    </row>
    <row r="203" spans="1:39" x14ac:dyDescent="0.25">
      <c r="A203">
        <v>99996</v>
      </c>
      <c r="B203" t="s">
        <v>188</v>
      </c>
      <c r="C203" s="13">
        <v>202967</v>
      </c>
      <c r="D203" s="13">
        <v>10388</v>
      </c>
      <c r="E203" s="13">
        <v>7695</v>
      </c>
      <c r="F203" s="13">
        <v>17708</v>
      </c>
      <c r="G203" s="13">
        <v>57261</v>
      </c>
      <c r="H203" s="13">
        <v>11687</v>
      </c>
      <c r="J203" s="13">
        <v>185336</v>
      </c>
      <c r="K203" s="13">
        <v>7930</v>
      </c>
      <c r="L203" s="13">
        <v>8352</v>
      </c>
      <c r="M203" s="13">
        <v>16426</v>
      </c>
      <c r="N203" s="13">
        <v>59521</v>
      </c>
      <c r="O203" s="13">
        <v>15355</v>
      </c>
      <c r="Q203" s="3">
        <f t="shared" si="37"/>
        <v>17.631</v>
      </c>
      <c r="R203" s="3">
        <f t="shared" si="38"/>
        <v>2.4580000000000002</v>
      </c>
      <c r="S203" s="3">
        <f t="shared" si="39"/>
        <v>-0.65700000000000003</v>
      </c>
      <c r="T203" s="3">
        <f t="shared" si="40"/>
        <v>-2.2599999999999998</v>
      </c>
      <c r="U203" s="3"/>
      <c r="V203" s="3">
        <f t="shared" si="41"/>
        <v>1.282</v>
      </c>
      <c r="W203" s="3">
        <f t="shared" si="42"/>
        <v>-3.6680000000000001</v>
      </c>
      <c r="Y203" s="3">
        <f t="shared" si="43"/>
        <v>17.171999999999997</v>
      </c>
      <c r="Z203" s="3">
        <f t="shared" si="44"/>
        <v>-2.3860000000000001</v>
      </c>
      <c r="AA203" s="3">
        <f t="shared" si="45"/>
        <v>14.785999999999998</v>
      </c>
      <c r="AB203" s="3"/>
      <c r="AC203" s="2" t="str">
        <f t="shared" si="46"/>
        <v>1992-11</v>
      </c>
      <c r="AD203" s="9">
        <f t="shared" si="47"/>
        <v>68.567999999999998</v>
      </c>
      <c r="AE203" s="9">
        <f t="shared" si="48"/>
        <v>-39.911000000000001</v>
      </c>
      <c r="AF203" s="9">
        <f t="shared" si="49"/>
        <v>28.657000000000004</v>
      </c>
      <c r="AG203" s="9"/>
      <c r="AH203" s="10">
        <v>33909</v>
      </c>
      <c r="AI203" s="9">
        <f t="shared" si="50"/>
        <v>43.948999999999998</v>
      </c>
      <c r="AJ203" s="9">
        <f t="shared" si="51"/>
        <v>18.603999999999999</v>
      </c>
      <c r="AK203" s="9">
        <f t="shared" si="52"/>
        <v>19.637999999999998</v>
      </c>
      <c r="AL203" s="9">
        <f t="shared" si="53"/>
        <v>-13.623000000000003</v>
      </c>
      <c r="AM203" s="12">
        <f t="shared" si="54"/>
        <v>-15.291999999999994</v>
      </c>
    </row>
    <row r="204" spans="1:39" x14ac:dyDescent="0.25">
      <c r="A204">
        <v>99996</v>
      </c>
      <c r="B204" t="s">
        <v>189</v>
      </c>
      <c r="C204" s="13">
        <v>136659</v>
      </c>
      <c r="D204" s="13">
        <v>9959</v>
      </c>
      <c r="E204" s="13">
        <v>9290</v>
      </c>
      <c r="F204" s="13">
        <v>22740</v>
      </c>
      <c r="G204" s="13">
        <v>42350</v>
      </c>
      <c r="H204" s="13">
        <v>12782</v>
      </c>
      <c r="J204" s="13">
        <v>136645</v>
      </c>
      <c r="K204" s="13">
        <v>8663</v>
      </c>
      <c r="L204" s="13">
        <v>6941</v>
      </c>
      <c r="M204" s="13">
        <v>20390</v>
      </c>
      <c r="N204" s="13">
        <v>45468</v>
      </c>
      <c r="O204" s="13">
        <v>17188</v>
      </c>
      <c r="Q204" s="3">
        <f t="shared" si="37"/>
        <v>1.4E-2</v>
      </c>
      <c r="R204" s="3">
        <f t="shared" si="38"/>
        <v>1.296</v>
      </c>
      <c r="S204" s="3">
        <f t="shared" si="39"/>
        <v>2.3490000000000002</v>
      </c>
      <c r="T204" s="3">
        <f t="shared" si="40"/>
        <v>-3.1179999999999999</v>
      </c>
      <c r="U204" s="3"/>
      <c r="V204" s="3">
        <f t="shared" si="41"/>
        <v>2.35</v>
      </c>
      <c r="W204" s="3">
        <f t="shared" si="42"/>
        <v>-4.4059999999999997</v>
      </c>
      <c r="Y204" s="3">
        <f t="shared" si="43"/>
        <v>0.54100000000000037</v>
      </c>
      <c r="Z204" s="3">
        <f t="shared" si="44"/>
        <v>-2.0559999999999996</v>
      </c>
      <c r="AA204" s="3">
        <f t="shared" si="45"/>
        <v>-1.5149999999999992</v>
      </c>
      <c r="AB204" s="3"/>
      <c r="AC204" s="2" t="str">
        <f t="shared" si="46"/>
        <v>1992-12</v>
      </c>
      <c r="AD204" s="9">
        <f t="shared" si="47"/>
        <v>62.763000000000005</v>
      </c>
      <c r="AE204" s="9">
        <f t="shared" si="48"/>
        <v>-37.395000000000003</v>
      </c>
      <c r="AF204" s="9">
        <f t="shared" si="49"/>
        <v>25.368000000000002</v>
      </c>
      <c r="AG204" s="9"/>
      <c r="AH204" s="10">
        <v>33939</v>
      </c>
      <c r="AI204" s="9">
        <f t="shared" si="50"/>
        <v>39.288000000000004</v>
      </c>
      <c r="AJ204" s="9">
        <f t="shared" si="51"/>
        <v>18.291</v>
      </c>
      <c r="AK204" s="9">
        <f t="shared" si="52"/>
        <v>20.788999999999998</v>
      </c>
      <c r="AL204" s="9">
        <f t="shared" si="53"/>
        <v>-15.605</v>
      </c>
      <c r="AM204" s="12">
        <f t="shared" si="54"/>
        <v>-13.920000000000002</v>
      </c>
    </row>
    <row r="205" spans="1:39" x14ac:dyDescent="0.25">
      <c r="A205">
        <v>99996</v>
      </c>
      <c r="B205" t="s">
        <v>190</v>
      </c>
      <c r="C205" s="13">
        <v>173164</v>
      </c>
      <c r="D205" s="13">
        <v>10027</v>
      </c>
      <c r="E205" s="13">
        <v>7180</v>
      </c>
      <c r="F205" s="13">
        <v>19517</v>
      </c>
      <c r="G205" s="13">
        <v>38567</v>
      </c>
      <c r="H205" s="13">
        <v>12815</v>
      </c>
      <c r="J205" s="13">
        <v>172724</v>
      </c>
      <c r="K205" s="13">
        <v>8819</v>
      </c>
      <c r="L205" s="13">
        <v>6987</v>
      </c>
      <c r="M205" s="13">
        <v>19360</v>
      </c>
      <c r="N205" s="13">
        <v>44070</v>
      </c>
      <c r="O205" s="13">
        <v>15075</v>
      </c>
      <c r="Q205" s="3">
        <f t="shared" ref="Q205:Q268" si="55">(C205-J205)/1000</f>
        <v>0.44</v>
      </c>
      <c r="R205" s="3">
        <f t="shared" ref="R205:R268" si="56">(D205-K205)/1000</f>
        <v>1.208</v>
      </c>
      <c r="S205" s="3">
        <f t="shared" ref="S205:S268" si="57">(E205-L205)/1000</f>
        <v>0.193</v>
      </c>
      <c r="T205" s="3">
        <f t="shared" ref="T205:T268" si="58">(G205-N205)/1000</f>
        <v>-5.5030000000000001</v>
      </c>
      <c r="U205" s="3"/>
      <c r="V205" s="3">
        <f t="shared" ref="V205:V268" si="59">(F205-M205)/1000</f>
        <v>0.157</v>
      </c>
      <c r="W205" s="3">
        <f t="shared" ref="W205:W268" si="60">(H205-O205)/1000</f>
        <v>-2.2599999999999998</v>
      </c>
      <c r="Y205" s="3">
        <f t="shared" ref="Y205:Y268" si="61">SUM(Q205:T205)</f>
        <v>-3.6619999999999999</v>
      </c>
      <c r="Z205" s="3">
        <f t="shared" ref="Z205:Z268" si="62">V205+W205</f>
        <v>-2.1029999999999998</v>
      </c>
      <c r="AA205" s="3">
        <f t="shared" ref="AA205:AA268" si="63">SUM(Q205:W205)</f>
        <v>-5.7649999999999997</v>
      </c>
      <c r="AB205" s="3"/>
      <c r="AC205" s="2" t="str">
        <f t="shared" si="46"/>
        <v>1993-01</v>
      </c>
      <c r="AD205" s="9">
        <f t="shared" si="47"/>
        <v>46.234999999999992</v>
      </c>
      <c r="AE205" s="9">
        <f t="shared" si="48"/>
        <v>-34.304000000000002</v>
      </c>
      <c r="AF205" s="9">
        <f t="shared" si="49"/>
        <v>11.930999999999997</v>
      </c>
      <c r="AG205" s="9"/>
      <c r="AH205" s="10">
        <v>33970</v>
      </c>
      <c r="AI205" s="9">
        <f t="shared" si="50"/>
        <v>28.463000000000001</v>
      </c>
      <c r="AJ205" s="9">
        <f t="shared" si="51"/>
        <v>18.698999999999998</v>
      </c>
      <c r="AK205" s="9">
        <f t="shared" si="52"/>
        <v>19.623999999999999</v>
      </c>
      <c r="AL205" s="9">
        <f t="shared" si="53"/>
        <v>-20.551000000000002</v>
      </c>
      <c r="AM205" s="12">
        <f t="shared" si="54"/>
        <v>-16.532000000000004</v>
      </c>
    </row>
    <row r="206" spans="1:39" x14ac:dyDescent="0.25">
      <c r="A206">
        <v>99996</v>
      </c>
      <c r="B206" t="s">
        <v>191</v>
      </c>
      <c r="C206" s="13">
        <v>238511</v>
      </c>
      <c r="D206" s="13">
        <v>11306</v>
      </c>
      <c r="E206" s="13">
        <v>10883</v>
      </c>
      <c r="F206" s="13">
        <v>28764</v>
      </c>
      <c r="G206" s="13">
        <v>55135</v>
      </c>
      <c r="H206" s="13">
        <v>15121</v>
      </c>
      <c r="J206" s="13">
        <v>240540</v>
      </c>
      <c r="K206" s="13">
        <v>10218</v>
      </c>
      <c r="L206" s="13">
        <v>8765</v>
      </c>
      <c r="M206" s="13">
        <v>25993</v>
      </c>
      <c r="N206" s="13">
        <v>64531</v>
      </c>
      <c r="O206" s="13">
        <v>16659</v>
      </c>
      <c r="Q206" s="3">
        <f t="shared" si="55"/>
        <v>-2.0289999999999999</v>
      </c>
      <c r="R206" s="3">
        <f t="shared" si="56"/>
        <v>1.0880000000000001</v>
      </c>
      <c r="S206" s="3">
        <f t="shared" si="57"/>
        <v>2.1179999999999999</v>
      </c>
      <c r="T206" s="3">
        <f t="shared" si="58"/>
        <v>-9.3960000000000008</v>
      </c>
      <c r="U206" s="3"/>
      <c r="V206" s="3">
        <f t="shared" si="59"/>
        <v>2.7709999999999999</v>
      </c>
      <c r="W206" s="3">
        <f t="shared" si="60"/>
        <v>-1.538</v>
      </c>
      <c r="Y206" s="3">
        <f t="shared" si="61"/>
        <v>-8.2190000000000012</v>
      </c>
      <c r="Z206" s="3">
        <f t="shared" si="62"/>
        <v>1.2329999999999999</v>
      </c>
      <c r="AA206" s="3">
        <f t="shared" si="63"/>
        <v>-6.9860000000000015</v>
      </c>
      <c r="AB206" s="3"/>
      <c r="AC206" s="2" t="str">
        <f t="shared" si="46"/>
        <v>1993-02</v>
      </c>
      <c r="AD206" s="9">
        <f t="shared" si="47"/>
        <v>29.783000000000001</v>
      </c>
      <c r="AE206" s="9">
        <f t="shared" si="48"/>
        <v>-30.997000000000003</v>
      </c>
      <c r="AF206" s="9">
        <f t="shared" si="49"/>
        <v>-1.2140000000000004</v>
      </c>
      <c r="AG206" s="9"/>
      <c r="AH206" s="10">
        <v>34001</v>
      </c>
      <c r="AI206" s="9">
        <f t="shared" si="50"/>
        <v>21.802000000000003</v>
      </c>
      <c r="AJ206" s="9">
        <f t="shared" si="51"/>
        <v>19.089000000000002</v>
      </c>
      <c r="AK206" s="9">
        <f t="shared" si="52"/>
        <v>19.160000000000004</v>
      </c>
      <c r="AL206" s="9">
        <f t="shared" si="53"/>
        <v>-30.268000000000001</v>
      </c>
      <c r="AM206" s="12">
        <f t="shared" si="54"/>
        <v>-23.016000000000005</v>
      </c>
    </row>
    <row r="207" spans="1:39" x14ac:dyDescent="0.25">
      <c r="A207">
        <v>99996</v>
      </c>
      <c r="B207" t="s">
        <v>192</v>
      </c>
      <c r="C207" s="13">
        <v>253984</v>
      </c>
      <c r="D207" s="13">
        <v>13147</v>
      </c>
      <c r="E207" s="13">
        <v>12110</v>
      </c>
      <c r="F207" s="13">
        <v>27060</v>
      </c>
      <c r="G207" s="13">
        <v>71154</v>
      </c>
      <c r="H207" s="13">
        <v>17482</v>
      </c>
      <c r="J207" s="13">
        <v>247406</v>
      </c>
      <c r="K207" s="13">
        <v>13621</v>
      </c>
      <c r="L207" s="13">
        <v>9644</v>
      </c>
      <c r="M207" s="13">
        <v>24614</v>
      </c>
      <c r="N207" s="13">
        <v>76022</v>
      </c>
      <c r="O207" s="13">
        <v>21465</v>
      </c>
      <c r="Q207" s="3">
        <f t="shared" si="55"/>
        <v>6.5780000000000003</v>
      </c>
      <c r="R207" s="3">
        <f t="shared" si="56"/>
        <v>-0.47399999999999998</v>
      </c>
      <c r="S207" s="3">
        <f t="shared" si="57"/>
        <v>2.4660000000000002</v>
      </c>
      <c r="T207" s="3">
        <f t="shared" si="58"/>
        <v>-4.8680000000000003</v>
      </c>
      <c r="U207" s="3"/>
      <c r="V207" s="3">
        <f t="shared" si="59"/>
        <v>2.4460000000000002</v>
      </c>
      <c r="W207" s="3">
        <f t="shared" si="60"/>
        <v>-3.9830000000000001</v>
      </c>
      <c r="Y207" s="3">
        <f t="shared" si="61"/>
        <v>3.702</v>
      </c>
      <c r="Z207" s="3">
        <f t="shared" si="62"/>
        <v>-1.5369999999999999</v>
      </c>
      <c r="AA207" s="3">
        <f t="shared" si="63"/>
        <v>2.1649999999999996</v>
      </c>
      <c r="AB207" s="3"/>
      <c r="AC207" s="2" t="str">
        <f t="shared" si="46"/>
        <v>1993-03</v>
      </c>
      <c r="AD207" s="9">
        <f t="shared" si="47"/>
        <v>40.378999999999991</v>
      </c>
      <c r="AE207" s="9">
        <f t="shared" si="48"/>
        <v>-29.192000000000004</v>
      </c>
      <c r="AF207" s="9">
        <f t="shared" si="49"/>
        <v>11.186999999999994</v>
      </c>
      <c r="AG207" s="9"/>
      <c r="AH207" s="10">
        <v>34029</v>
      </c>
      <c r="AI207" s="9">
        <f t="shared" si="50"/>
        <v>37.845999999999997</v>
      </c>
      <c r="AJ207" s="9">
        <f t="shared" si="51"/>
        <v>16.93</v>
      </c>
      <c r="AK207" s="9">
        <f t="shared" si="52"/>
        <v>20.477</v>
      </c>
      <c r="AL207" s="9">
        <f t="shared" si="53"/>
        <v>-34.874000000000002</v>
      </c>
      <c r="AM207" s="12">
        <f t="shared" si="54"/>
        <v>-26.659000000000002</v>
      </c>
    </row>
    <row r="208" spans="1:39" x14ac:dyDescent="0.25">
      <c r="A208">
        <v>99996</v>
      </c>
      <c r="B208" t="s">
        <v>193</v>
      </c>
      <c r="C208" s="13">
        <v>190158</v>
      </c>
      <c r="D208" s="13">
        <v>7970</v>
      </c>
      <c r="E208" s="13">
        <v>13005</v>
      </c>
      <c r="F208" s="13">
        <v>25121</v>
      </c>
      <c r="G208" s="13">
        <v>55458</v>
      </c>
      <c r="H208" s="13">
        <v>19435</v>
      </c>
      <c r="J208" s="13">
        <v>185792</v>
      </c>
      <c r="K208" s="13">
        <v>6294</v>
      </c>
      <c r="L208" s="13">
        <v>9473</v>
      </c>
      <c r="M208" s="13">
        <v>25452</v>
      </c>
      <c r="N208" s="13">
        <v>59017</v>
      </c>
      <c r="O208" s="13">
        <v>23442</v>
      </c>
      <c r="Q208" s="3">
        <f t="shared" si="55"/>
        <v>4.3659999999999997</v>
      </c>
      <c r="R208" s="3">
        <f t="shared" si="56"/>
        <v>1.6759999999999999</v>
      </c>
      <c r="S208" s="3">
        <f t="shared" si="57"/>
        <v>3.532</v>
      </c>
      <c r="T208" s="3">
        <f t="shared" si="58"/>
        <v>-3.5590000000000002</v>
      </c>
      <c r="U208" s="3"/>
      <c r="V208" s="3">
        <f t="shared" si="59"/>
        <v>-0.33100000000000002</v>
      </c>
      <c r="W208" s="3">
        <f t="shared" si="60"/>
        <v>-4.0069999999999997</v>
      </c>
      <c r="Y208" s="3">
        <f t="shared" si="61"/>
        <v>6.0149999999999997</v>
      </c>
      <c r="Z208" s="3">
        <f t="shared" si="62"/>
        <v>-4.3380000000000001</v>
      </c>
      <c r="AA208" s="3">
        <f t="shared" si="63"/>
        <v>1.6769999999999996</v>
      </c>
      <c r="AB208" s="3"/>
      <c r="AC208" s="2" t="str">
        <f t="shared" si="46"/>
        <v>1993-04</v>
      </c>
      <c r="AD208" s="9">
        <f t="shared" si="47"/>
        <v>36.009999999999991</v>
      </c>
      <c r="AE208" s="9">
        <f t="shared" si="48"/>
        <v>-30.73</v>
      </c>
      <c r="AF208" s="9">
        <f t="shared" si="49"/>
        <v>5.2799999999999976</v>
      </c>
      <c r="AG208" s="9"/>
      <c r="AH208" s="10">
        <v>34060</v>
      </c>
      <c r="AI208" s="9">
        <f t="shared" si="50"/>
        <v>35.652999999999999</v>
      </c>
      <c r="AJ208" s="9">
        <f t="shared" si="51"/>
        <v>15.941000000000001</v>
      </c>
      <c r="AK208" s="9">
        <f t="shared" si="52"/>
        <v>21.607000000000003</v>
      </c>
      <c r="AL208" s="9">
        <f t="shared" si="53"/>
        <v>-37.191000000000003</v>
      </c>
      <c r="AM208" s="12">
        <f t="shared" si="54"/>
        <v>-30.373000000000001</v>
      </c>
    </row>
    <row r="209" spans="1:39" x14ac:dyDescent="0.25">
      <c r="A209">
        <v>99996</v>
      </c>
      <c r="B209" t="s">
        <v>194</v>
      </c>
      <c r="C209" s="13">
        <v>184226</v>
      </c>
      <c r="D209" s="13">
        <v>10508</v>
      </c>
      <c r="E209" s="13">
        <v>8817</v>
      </c>
      <c r="F209" s="13">
        <v>23094</v>
      </c>
      <c r="G209" s="13">
        <v>53415</v>
      </c>
      <c r="H209" s="13">
        <v>16415</v>
      </c>
      <c r="J209" s="13">
        <v>185385</v>
      </c>
      <c r="K209" s="13">
        <v>7068</v>
      </c>
      <c r="L209" s="13">
        <v>8446</v>
      </c>
      <c r="M209" s="13">
        <v>22308</v>
      </c>
      <c r="N209" s="13">
        <v>55956</v>
      </c>
      <c r="O209" s="13">
        <v>20415</v>
      </c>
      <c r="Q209" s="3">
        <f t="shared" si="55"/>
        <v>-1.159</v>
      </c>
      <c r="R209" s="3">
        <f t="shared" si="56"/>
        <v>3.44</v>
      </c>
      <c r="S209" s="3">
        <f t="shared" si="57"/>
        <v>0.371</v>
      </c>
      <c r="T209" s="3">
        <f t="shared" si="58"/>
        <v>-2.5409999999999999</v>
      </c>
      <c r="U209" s="3"/>
      <c r="V209" s="3">
        <f t="shared" si="59"/>
        <v>0.78600000000000003</v>
      </c>
      <c r="W209" s="3">
        <f t="shared" si="60"/>
        <v>-4</v>
      </c>
      <c r="Y209" s="3">
        <f t="shared" si="61"/>
        <v>0.11099999999999977</v>
      </c>
      <c r="Z209" s="3">
        <f t="shared" si="62"/>
        <v>-3.214</v>
      </c>
      <c r="AA209" s="3">
        <f t="shared" si="63"/>
        <v>-3.1030000000000002</v>
      </c>
      <c r="AB209" s="3"/>
      <c r="AC209" s="2" t="str">
        <f t="shared" si="46"/>
        <v>1993-05</v>
      </c>
      <c r="AD209" s="9">
        <f t="shared" si="47"/>
        <v>41.941999999999986</v>
      </c>
      <c r="AE209" s="9">
        <f t="shared" si="48"/>
        <v>-33.095000000000006</v>
      </c>
      <c r="AF209" s="9">
        <f t="shared" si="49"/>
        <v>8.8469999999999924</v>
      </c>
      <c r="AG209" s="9"/>
      <c r="AH209" s="10">
        <v>34090</v>
      </c>
      <c r="AI209" s="9">
        <f t="shared" si="50"/>
        <v>42.419999999999995</v>
      </c>
      <c r="AJ209" s="9">
        <f t="shared" si="51"/>
        <v>17.448999999999998</v>
      </c>
      <c r="AK209" s="9">
        <f t="shared" si="52"/>
        <v>19.600000000000001</v>
      </c>
      <c r="AL209" s="9">
        <f t="shared" si="53"/>
        <v>-37.526999999999994</v>
      </c>
      <c r="AM209" s="12">
        <f t="shared" si="54"/>
        <v>-33.573</v>
      </c>
    </row>
    <row r="210" spans="1:39" x14ac:dyDescent="0.25">
      <c r="A210">
        <v>99996</v>
      </c>
      <c r="B210" t="s">
        <v>197</v>
      </c>
      <c r="C210" s="13">
        <v>234513</v>
      </c>
      <c r="D210" s="13">
        <v>11726</v>
      </c>
      <c r="E210" s="13">
        <v>12365</v>
      </c>
      <c r="F210" s="13">
        <v>24310</v>
      </c>
      <c r="G210" s="13">
        <v>62063</v>
      </c>
      <c r="H210" s="13">
        <v>18601</v>
      </c>
      <c r="J210" s="13">
        <v>240211</v>
      </c>
      <c r="K210" s="13">
        <v>7878</v>
      </c>
      <c r="L210" s="13">
        <v>8947</v>
      </c>
      <c r="M210" s="13">
        <v>23467</v>
      </c>
      <c r="N210" s="13">
        <v>71104</v>
      </c>
      <c r="O210" s="13">
        <v>24282</v>
      </c>
      <c r="Q210" s="3">
        <f t="shared" si="55"/>
        <v>-5.6980000000000004</v>
      </c>
      <c r="R210" s="3">
        <f t="shared" si="56"/>
        <v>3.8479999999999999</v>
      </c>
      <c r="S210" s="3">
        <f t="shared" si="57"/>
        <v>3.4180000000000001</v>
      </c>
      <c r="T210" s="3">
        <f t="shared" si="58"/>
        <v>-9.0410000000000004</v>
      </c>
      <c r="U210" s="3"/>
      <c r="V210" s="3">
        <f t="shared" si="59"/>
        <v>0.84299999999999997</v>
      </c>
      <c r="W210" s="3">
        <f t="shared" si="60"/>
        <v>-5.681</v>
      </c>
      <c r="Y210" s="3">
        <f t="shared" si="61"/>
        <v>-7.4730000000000008</v>
      </c>
      <c r="Z210" s="3">
        <f t="shared" si="62"/>
        <v>-4.8380000000000001</v>
      </c>
      <c r="AA210" s="3">
        <f t="shared" si="63"/>
        <v>-12.311</v>
      </c>
      <c r="AB210" s="3"/>
      <c r="AC210" s="2" t="str">
        <f t="shared" si="46"/>
        <v>1993-06</v>
      </c>
      <c r="AD210" s="9">
        <f t="shared" si="47"/>
        <v>17.189999999999998</v>
      </c>
      <c r="AE210" s="9">
        <f t="shared" si="48"/>
        <v>-36.971000000000004</v>
      </c>
      <c r="AF210" s="9">
        <f t="shared" si="49"/>
        <v>-19.781000000000006</v>
      </c>
      <c r="AG210" s="9"/>
      <c r="AH210" s="10">
        <v>34121</v>
      </c>
      <c r="AI210" s="9">
        <f t="shared" si="50"/>
        <v>22.266000000000002</v>
      </c>
      <c r="AJ210" s="9">
        <f t="shared" si="51"/>
        <v>19.213999999999999</v>
      </c>
      <c r="AK210" s="9">
        <f t="shared" si="52"/>
        <v>20.802999999999997</v>
      </c>
      <c r="AL210" s="9">
        <f t="shared" si="53"/>
        <v>-45.093000000000004</v>
      </c>
      <c r="AM210" s="12">
        <f t="shared" si="54"/>
        <v>-42.047000000000011</v>
      </c>
    </row>
    <row r="211" spans="1:39" x14ac:dyDescent="0.25">
      <c r="A211">
        <v>99996</v>
      </c>
      <c r="B211" t="s">
        <v>198</v>
      </c>
      <c r="C211" s="13">
        <v>187166</v>
      </c>
      <c r="D211" s="13">
        <v>13002</v>
      </c>
      <c r="E211" s="13">
        <v>9736</v>
      </c>
      <c r="F211" s="13">
        <v>24441</v>
      </c>
      <c r="G211" s="13">
        <v>60311</v>
      </c>
      <c r="H211" s="13">
        <v>19635</v>
      </c>
      <c r="J211" s="13">
        <v>189037</v>
      </c>
      <c r="K211" s="13">
        <v>11194</v>
      </c>
      <c r="L211" s="13">
        <v>9536</v>
      </c>
      <c r="M211" s="13">
        <v>25046</v>
      </c>
      <c r="N211" s="13">
        <v>72722</v>
      </c>
      <c r="O211" s="13">
        <v>26111</v>
      </c>
      <c r="Q211" s="3">
        <f t="shared" si="55"/>
        <v>-1.871</v>
      </c>
      <c r="R211" s="3">
        <f t="shared" si="56"/>
        <v>1.8080000000000001</v>
      </c>
      <c r="S211" s="3">
        <f t="shared" si="57"/>
        <v>0.2</v>
      </c>
      <c r="T211" s="3">
        <f t="shared" si="58"/>
        <v>-12.411</v>
      </c>
      <c r="U211" s="3"/>
      <c r="V211" s="3">
        <f t="shared" si="59"/>
        <v>-0.60499999999999998</v>
      </c>
      <c r="W211" s="3">
        <f t="shared" si="60"/>
        <v>-6.476</v>
      </c>
      <c r="Y211" s="3">
        <f t="shared" si="61"/>
        <v>-12.273999999999999</v>
      </c>
      <c r="Z211" s="3">
        <f t="shared" si="62"/>
        <v>-7.0809999999999995</v>
      </c>
      <c r="AA211" s="3">
        <f t="shared" si="63"/>
        <v>-19.355</v>
      </c>
      <c r="AB211" s="3"/>
      <c r="AC211" s="2" t="str">
        <f t="shared" si="46"/>
        <v>1993-07</v>
      </c>
      <c r="AD211" s="9">
        <f t="shared" si="47"/>
        <v>8.9459999999999997</v>
      </c>
      <c r="AE211" s="9">
        <f t="shared" si="48"/>
        <v>-40.588999999999999</v>
      </c>
      <c r="AF211" s="9">
        <f t="shared" si="49"/>
        <v>-31.643000000000004</v>
      </c>
      <c r="AG211" s="9"/>
      <c r="AH211" s="10">
        <v>34151</v>
      </c>
      <c r="AI211" s="9">
        <f t="shared" si="50"/>
        <v>22.256000000000004</v>
      </c>
      <c r="AJ211" s="9">
        <f t="shared" si="51"/>
        <v>21.122</v>
      </c>
      <c r="AK211" s="9">
        <f t="shared" si="52"/>
        <v>19.042000000000002</v>
      </c>
      <c r="AL211" s="9">
        <f t="shared" si="53"/>
        <v>-53.474000000000004</v>
      </c>
      <c r="AM211" s="12">
        <f t="shared" si="54"/>
        <v>-53.899000000000008</v>
      </c>
    </row>
    <row r="212" spans="1:39" x14ac:dyDescent="0.25">
      <c r="A212">
        <v>99996</v>
      </c>
      <c r="B212" t="s">
        <v>199</v>
      </c>
      <c r="C212" s="13">
        <v>263690</v>
      </c>
      <c r="D212" s="13">
        <v>11203</v>
      </c>
      <c r="E212" s="13">
        <v>11222</v>
      </c>
      <c r="F212" s="13">
        <v>26133</v>
      </c>
      <c r="G212" s="13">
        <v>63342</v>
      </c>
      <c r="H212" s="13">
        <v>20381</v>
      </c>
      <c r="J212" s="13">
        <v>249710</v>
      </c>
      <c r="K212" s="13">
        <v>8756</v>
      </c>
      <c r="L212" s="13">
        <v>7631</v>
      </c>
      <c r="M212" s="13">
        <v>23693</v>
      </c>
      <c r="N212" s="13">
        <v>69143</v>
      </c>
      <c r="O212" s="13">
        <v>29074</v>
      </c>
      <c r="Q212" s="3">
        <f t="shared" si="55"/>
        <v>13.98</v>
      </c>
      <c r="R212" s="3">
        <f t="shared" si="56"/>
        <v>2.4470000000000001</v>
      </c>
      <c r="S212" s="3">
        <f t="shared" si="57"/>
        <v>3.5910000000000002</v>
      </c>
      <c r="T212" s="3">
        <f t="shared" si="58"/>
        <v>-5.8010000000000002</v>
      </c>
      <c r="U212" s="3"/>
      <c r="V212" s="3">
        <f t="shared" si="59"/>
        <v>2.44</v>
      </c>
      <c r="W212" s="3">
        <f t="shared" si="60"/>
        <v>-8.6929999999999996</v>
      </c>
      <c r="Y212" s="3">
        <f t="shared" si="61"/>
        <v>14.217000000000001</v>
      </c>
      <c r="Z212" s="3">
        <f t="shared" si="62"/>
        <v>-6.2530000000000001</v>
      </c>
      <c r="AA212" s="3">
        <f t="shared" si="63"/>
        <v>7.9640000000000004</v>
      </c>
      <c r="AB212" s="3"/>
      <c r="AC212" s="2" t="str">
        <f t="shared" si="46"/>
        <v>1993-08</v>
      </c>
      <c r="AD212" s="9">
        <f t="shared" si="47"/>
        <v>14.171999999999999</v>
      </c>
      <c r="AE212" s="9">
        <f t="shared" si="48"/>
        <v>-42.241</v>
      </c>
      <c r="AF212" s="9">
        <f t="shared" si="49"/>
        <v>-28.069000000000003</v>
      </c>
      <c r="AG212" s="9"/>
      <c r="AH212" s="10">
        <v>34182</v>
      </c>
      <c r="AI212" s="9">
        <f t="shared" si="50"/>
        <v>29.783000000000001</v>
      </c>
      <c r="AJ212" s="9">
        <f t="shared" si="51"/>
        <v>22.688999999999997</v>
      </c>
      <c r="AK212" s="9">
        <f t="shared" si="52"/>
        <v>20.502000000000002</v>
      </c>
      <c r="AL212" s="9">
        <f t="shared" si="53"/>
        <v>-58.802000000000007</v>
      </c>
      <c r="AM212" s="12">
        <f t="shared" si="54"/>
        <v>-57.852000000000004</v>
      </c>
    </row>
    <row r="213" spans="1:39" x14ac:dyDescent="0.25">
      <c r="A213">
        <v>99996</v>
      </c>
      <c r="B213" t="s">
        <v>200</v>
      </c>
      <c r="C213" s="13">
        <v>237560</v>
      </c>
      <c r="D213" s="13">
        <v>13207</v>
      </c>
      <c r="E213" s="13">
        <v>11846</v>
      </c>
      <c r="F213" s="13">
        <v>23905</v>
      </c>
      <c r="G213" s="13">
        <v>69701</v>
      </c>
      <c r="H213" s="13">
        <v>21410</v>
      </c>
      <c r="J213" s="13">
        <v>248420</v>
      </c>
      <c r="K213" s="13">
        <v>7694</v>
      </c>
      <c r="L213" s="13">
        <v>8598</v>
      </c>
      <c r="M213" s="13">
        <v>23033</v>
      </c>
      <c r="N213" s="13">
        <v>82265</v>
      </c>
      <c r="O213" s="13">
        <v>26776</v>
      </c>
      <c r="Q213" s="3">
        <f t="shared" si="55"/>
        <v>-10.86</v>
      </c>
      <c r="R213" s="3">
        <f t="shared" si="56"/>
        <v>5.5129999999999999</v>
      </c>
      <c r="S213" s="3">
        <f t="shared" si="57"/>
        <v>3.2480000000000002</v>
      </c>
      <c r="T213" s="3">
        <f t="shared" si="58"/>
        <v>-12.564</v>
      </c>
      <c r="U213" s="3"/>
      <c r="V213" s="3">
        <f t="shared" si="59"/>
        <v>0.872</v>
      </c>
      <c r="W213" s="3">
        <f t="shared" si="60"/>
        <v>-5.3659999999999997</v>
      </c>
      <c r="Y213" s="3">
        <f t="shared" si="61"/>
        <v>-14.663</v>
      </c>
      <c r="Z213" s="3">
        <f t="shared" si="62"/>
        <v>-4.4939999999999998</v>
      </c>
      <c r="AA213" s="3">
        <f t="shared" si="63"/>
        <v>-19.157</v>
      </c>
      <c r="AB213" s="3"/>
      <c r="AC213" s="2" t="str">
        <f t="shared" si="46"/>
        <v>1993-09</v>
      </c>
      <c r="AD213" s="9">
        <f t="shared" si="47"/>
        <v>1.6089999999999982</v>
      </c>
      <c r="AE213" s="9">
        <f t="shared" si="48"/>
        <v>-40.682000000000002</v>
      </c>
      <c r="AF213" s="9">
        <f t="shared" si="49"/>
        <v>-39.073000000000008</v>
      </c>
      <c r="AG213" s="9"/>
      <c r="AH213" s="10">
        <v>34213</v>
      </c>
      <c r="AI213" s="9">
        <f t="shared" si="50"/>
        <v>24.936000000000007</v>
      </c>
      <c r="AJ213" s="9">
        <f t="shared" si="51"/>
        <v>27.535999999999994</v>
      </c>
      <c r="AK213" s="9">
        <f t="shared" si="52"/>
        <v>21.671000000000003</v>
      </c>
      <c r="AL213" s="9">
        <f t="shared" si="53"/>
        <v>-72.53400000000002</v>
      </c>
      <c r="AM213" s="12">
        <f t="shared" si="54"/>
        <v>-64.009000000000015</v>
      </c>
    </row>
    <row r="214" spans="1:39" x14ac:dyDescent="0.25">
      <c r="A214">
        <v>99996</v>
      </c>
      <c r="B214" t="s">
        <v>201</v>
      </c>
      <c r="C214" s="13">
        <v>217042</v>
      </c>
      <c r="D214" s="13">
        <v>13870</v>
      </c>
      <c r="E214" s="13">
        <v>14356</v>
      </c>
      <c r="F214" s="13">
        <v>32629</v>
      </c>
      <c r="G214" s="13">
        <v>66462</v>
      </c>
      <c r="H214" s="13">
        <v>24754</v>
      </c>
      <c r="J214" s="13">
        <v>212991</v>
      </c>
      <c r="K214" s="13">
        <v>10232</v>
      </c>
      <c r="L214" s="13">
        <v>9168</v>
      </c>
      <c r="M214" s="13">
        <v>28072</v>
      </c>
      <c r="N214" s="13">
        <v>72665</v>
      </c>
      <c r="O214" s="13">
        <v>32250</v>
      </c>
      <c r="Q214" s="3">
        <f t="shared" si="55"/>
        <v>4.0510000000000002</v>
      </c>
      <c r="R214" s="3">
        <f t="shared" si="56"/>
        <v>3.6379999999999999</v>
      </c>
      <c r="S214" s="3">
        <f t="shared" si="57"/>
        <v>5.1879999999999997</v>
      </c>
      <c r="T214" s="3">
        <f t="shared" si="58"/>
        <v>-6.2030000000000003</v>
      </c>
      <c r="U214" s="3"/>
      <c r="V214" s="3">
        <f t="shared" si="59"/>
        <v>4.5570000000000004</v>
      </c>
      <c r="W214" s="3">
        <f t="shared" si="60"/>
        <v>-7.4960000000000004</v>
      </c>
      <c r="Y214" s="3">
        <f t="shared" si="61"/>
        <v>6.6739999999999986</v>
      </c>
      <c r="Z214" s="3">
        <f t="shared" si="62"/>
        <v>-2.9390000000000001</v>
      </c>
      <c r="AA214" s="3">
        <f t="shared" si="63"/>
        <v>3.7349999999999977</v>
      </c>
      <c r="AB214" s="3"/>
      <c r="AC214" s="2" t="str">
        <f t="shared" si="46"/>
        <v>1993-10</v>
      </c>
      <c r="AD214" s="9">
        <f t="shared" si="47"/>
        <v>2.1409999999999956</v>
      </c>
      <c r="AE214" s="9">
        <f t="shared" si="48"/>
        <v>-40.006</v>
      </c>
      <c r="AF214" s="9">
        <f t="shared" si="49"/>
        <v>-37.865000000000009</v>
      </c>
      <c r="AG214" s="9"/>
      <c r="AH214" s="10">
        <v>34243</v>
      </c>
      <c r="AI214" s="9">
        <f t="shared" si="50"/>
        <v>25.443000000000005</v>
      </c>
      <c r="AJ214" s="9">
        <f t="shared" si="51"/>
        <v>27.945999999999998</v>
      </c>
      <c r="AK214" s="9">
        <f t="shared" si="52"/>
        <v>26.017000000000003</v>
      </c>
      <c r="AL214" s="9">
        <f t="shared" si="53"/>
        <v>-77.265000000000015</v>
      </c>
      <c r="AM214" s="12">
        <f t="shared" si="54"/>
        <v>-63.308000000000014</v>
      </c>
    </row>
    <row r="215" spans="1:39" x14ac:dyDescent="0.25">
      <c r="A215">
        <v>99996</v>
      </c>
      <c r="B215" t="s">
        <v>202</v>
      </c>
      <c r="C215" s="13">
        <v>271648</v>
      </c>
      <c r="D215" s="13">
        <v>17732</v>
      </c>
      <c r="E215" s="13">
        <v>10860</v>
      </c>
      <c r="F215" s="13">
        <v>31924</v>
      </c>
      <c r="G215" s="13">
        <v>77469</v>
      </c>
      <c r="H215" s="13">
        <v>28418</v>
      </c>
      <c r="J215" s="13">
        <v>256425</v>
      </c>
      <c r="K215" s="13">
        <v>12532</v>
      </c>
      <c r="L215" s="13">
        <v>9013</v>
      </c>
      <c r="M215" s="13">
        <v>28755</v>
      </c>
      <c r="N215" s="13">
        <v>76052</v>
      </c>
      <c r="O215" s="13">
        <v>35105</v>
      </c>
      <c r="Q215" s="3">
        <f t="shared" si="55"/>
        <v>15.223000000000001</v>
      </c>
      <c r="R215" s="3">
        <f t="shared" si="56"/>
        <v>5.2</v>
      </c>
      <c r="S215" s="3">
        <f t="shared" si="57"/>
        <v>1.847</v>
      </c>
      <c r="T215" s="3">
        <f t="shared" si="58"/>
        <v>1.417</v>
      </c>
      <c r="U215" s="3"/>
      <c r="V215" s="3">
        <f t="shared" si="59"/>
        <v>3.169</v>
      </c>
      <c r="W215" s="3">
        <f t="shared" si="60"/>
        <v>-6.6870000000000003</v>
      </c>
      <c r="Y215" s="3">
        <f t="shared" si="61"/>
        <v>23.687000000000005</v>
      </c>
      <c r="Z215" s="3">
        <f t="shared" si="62"/>
        <v>-3.5180000000000002</v>
      </c>
      <c r="AA215" s="3">
        <f t="shared" si="63"/>
        <v>20.169000000000004</v>
      </c>
      <c r="AB215" s="3"/>
      <c r="AC215" s="2" t="str">
        <f t="shared" si="46"/>
        <v>1993-11</v>
      </c>
      <c r="AD215" s="9">
        <f t="shared" si="47"/>
        <v>8.6560000000000059</v>
      </c>
      <c r="AE215" s="9">
        <f t="shared" si="48"/>
        <v>-41.137999999999998</v>
      </c>
      <c r="AF215" s="9">
        <f t="shared" si="49"/>
        <v>-32.481999999999992</v>
      </c>
      <c r="AG215" s="9"/>
      <c r="AH215" s="10">
        <v>34274</v>
      </c>
      <c r="AI215" s="9">
        <f t="shared" si="50"/>
        <v>23.035</v>
      </c>
      <c r="AJ215" s="9">
        <f t="shared" si="51"/>
        <v>30.687999999999999</v>
      </c>
      <c r="AK215" s="9">
        <f t="shared" si="52"/>
        <v>28.521000000000004</v>
      </c>
      <c r="AL215" s="9">
        <f t="shared" si="53"/>
        <v>-73.588000000000022</v>
      </c>
      <c r="AM215" s="12">
        <f t="shared" si="54"/>
        <v>-55.516999999999996</v>
      </c>
    </row>
    <row r="216" spans="1:39" x14ac:dyDescent="0.25">
      <c r="A216">
        <v>99996</v>
      </c>
      <c r="B216" t="s">
        <v>203</v>
      </c>
      <c r="C216" s="13">
        <v>157393</v>
      </c>
      <c r="D216" s="13">
        <v>15399</v>
      </c>
      <c r="E216" s="13">
        <v>12347</v>
      </c>
      <c r="F216" s="13">
        <v>32766</v>
      </c>
      <c r="G216" s="13">
        <v>72875</v>
      </c>
      <c r="H216" s="13">
        <v>31023</v>
      </c>
      <c r="J216" s="13">
        <v>156862</v>
      </c>
      <c r="K216" s="13">
        <v>9363</v>
      </c>
      <c r="L216" s="13">
        <v>7947</v>
      </c>
      <c r="M216" s="13">
        <v>28293</v>
      </c>
      <c r="N216" s="13">
        <v>82782</v>
      </c>
      <c r="O216" s="13">
        <v>37527</v>
      </c>
      <c r="Q216" s="3">
        <f t="shared" si="55"/>
        <v>0.53100000000000003</v>
      </c>
      <c r="R216" s="3">
        <f t="shared" si="56"/>
        <v>6.0359999999999996</v>
      </c>
      <c r="S216" s="3">
        <f t="shared" si="57"/>
        <v>4.4000000000000004</v>
      </c>
      <c r="T216" s="3">
        <f t="shared" si="58"/>
        <v>-9.907</v>
      </c>
      <c r="U216" s="3"/>
      <c r="V216" s="3">
        <f t="shared" si="59"/>
        <v>4.4729999999999999</v>
      </c>
      <c r="W216" s="3">
        <f t="shared" si="60"/>
        <v>-6.5039999999999996</v>
      </c>
      <c r="Y216" s="3">
        <f t="shared" si="61"/>
        <v>1.0599999999999987</v>
      </c>
      <c r="Z216" s="3">
        <f t="shared" si="62"/>
        <v>-2.0309999999999997</v>
      </c>
      <c r="AA216" s="3">
        <f t="shared" si="63"/>
        <v>-0.97100000000000097</v>
      </c>
      <c r="AB216" s="3"/>
      <c r="AC216" s="2" t="str">
        <f t="shared" ref="AC216:AC279" si="64">B216</f>
        <v>1993-12</v>
      </c>
      <c r="AD216" s="9">
        <f t="shared" ref="AD216:AD279" si="65">SUM(Y205:Y216)</f>
        <v>9.1750000000000007</v>
      </c>
      <c r="AE216" s="9">
        <f t="shared" ref="AE216:AE279" si="66">SUM(Z205:Z216)</f>
        <v>-41.113</v>
      </c>
      <c r="AF216" s="9">
        <f t="shared" ref="AF216:AF279" si="67">SUM(AA205:AA216)</f>
        <v>-31.937999999999992</v>
      </c>
      <c r="AG216" s="9"/>
      <c r="AH216" s="10">
        <v>34304</v>
      </c>
      <c r="AI216" s="9">
        <f t="shared" ref="AI216:AI279" si="68">SUM(Q205:Q216)</f>
        <v>23.552</v>
      </c>
      <c r="AJ216" s="9">
        <f t="shared" ref="AJ216:AJ279" si="69">SUM(R205:R216)</f>
        <v>35.427999999999997</v>
      </c>
      <c r="AK216" s="9">
        <f t="shared" ref="AK216:AK279" si="70">SUM(S205:S216)</f>
        <v>30.572000000000003</v>
      </c>
      <c r="AL216" s="9">
        <f t="shared" ref="AL216:AL279" si="71">SUM(T205:T216)</f>
        <v>-80.376999999999995</v>
      </c>
      <c r="AM216" s="12">
        <f t="shared" ref="AM216:AM279" si="72">AF216-AI216</f>
        <v>-55.489999999999995</v>
      </c>
    </row>
    <row r="217" spans="1:39" x14ac:dyDescent="0.25">
      <c r="A217">
        <v>99996</v>
      </c>
      <c r="B217" t="s">
        <v>204</v>
      </c>
      <c r="C217" s="13">
        <v>211831</v>
      </c>
      <c r="D217" s="13">
        <v>15698</v>
      </c>
      <c r="E217" s="13">
        <v>8743</v>
      </c>
      <c r="F217" s="13">
        <v>32091</v>
      </c>
      <c r="G217" s="13">
        <v>80287</v>
      </c>
      <c r="H217" s="13">
        <v>33246</v>
      </c>
      <c r="J217" s="13">
        <v>209793</v>
      </c>
      <c r="K217" s="13">
        <v>12063</v>
      </c>
      <c r="L217" s="13">
        <v>7578</v>
      </c>
      <c r="M217" s="13">
        <v>28827</v>
      </c>
      <c r="N217" s="13">
        <v>86953</v>
      </c>
      <c r="O217" s="13">
        <v>38724</v>
      </c>
      <c r="Q217" s="3">
        <f t="shared" si="55"/>
        <v>2.0379999999999998</v>
      </c>
      <c r="R217" s="3">
        <f t="shared" si="56"/>
        <v>3.6349999999999998</v>
      </c>
      <c r="S217" s="3">
        <f t="shared" si="57"/>
        <v>1.165</v>
      </c>
      <c r="T217" s="3">
        <f t="shared" si="58"/>
        <v>-6.6660000000000004</v>
      </c>
      <c r="U217" s="3"/>
      <c r="V217" s="3">
        <f t="shared" si="59"/>
        <v>3.2639999999999998</v>
      </c>
      <c r="W217" s="3">
        <f t="shared" si="60"/>
        <v>-5.4779999999999998</v>
      </c>
      <c r="Y217" s="3">
        <f t="shared" si="61"/>
        <v>0.17199999999999971</v>
      </c>
      <c r="Z217" s="3">
        <f t="shared" si="62"/>
        <v>-2.214</v>
      </c>
      <c r="AA217" s="3">
        <f t="shared" si="63"/>
        <v>-2.0420000000000003</v>
      </c>
      <c r="AB217" s="3"/>
      <c r="AC217" s="2" t="str">
        <f t="shared" si="64"/>
        <v>1994-01</v>
      </c>
      <c r="AD217" s="9">
        <f t="shared" si="65"/>
        <v>13.009</v>
      </c>
      <c r="AE217" s="9">
        <f t="shared" si="66"/>
        <v>-41.223999999999997</v>
      </c>
      <c r="AF217" s="9">
        <f t="shared" si="67"/>
        <v>-28.214999999999993</v>
      </c>
      <c r="AG217" s="9"/>
      <c r="AH217" s="10">
        <v>34335</v>
      </c>
      <c r="AI217" s="9">
        <f t="shared" si="68"/>
        <v>25.150000000000002</v>
      </c>
      <c r="AJ217" s="9">
        <f t="shared" si="69"/>
        <v>37.85499999999999</v>
      </c>
      <c r="AK217" s="9">
        <f t="shared" si="70"/>
        <v>31.544000000000004</v>
      </c>
      <c r="AL217" s="9">
        <f t="shared" si="71"/>
        <v>-81.539999999999992</v>
      </c>
      <c r="AM217" s="12">
        <f t="shared" si="72"/>
        <v>-53.364999999999995</v>
      </c>
    </row>
    <row r="218" spans="1:39" x14ac:dyDescent="0.25">
      <c r="A218">
        <v>99996</v>
      </c>
      <c r="B218" t="s">
        <v>205</v>
      </c>
      <c r="C218" s="13">
        <v>268972</v>
      </c>
      <c r="D218" s="13">
        <v>12553</v>
      </c>
      <c r="E218" s="13">
        <v>9639</v>
      </c>
      <c r="F218" s="13">
        <v>33817</v>
      </c>
      <c r="G218" s="13">
        <v>86385</v>
      </c>
      <c r="H218" s="13">
        <v>37700</v>
      </c>
      <c r="J218" s="13">
        <v>256094</v>
      </c>
      <c r="K218" s="13">
        <v>10927</v>
      </c>
      <c r="L218" s="13">
        <v>7268</v>
      </c>
      <c r="M218" s="13">
        <v>30348</v>
      </c>
      <c r="N218" s="13">
        <v>88719</v>
      </c>
      <c r="O218" s="13">
        <v>45234</v>
      </c>
      <c r="Q218" s="3">
        <f t="shared" si="55"/>
        <v>12.878</v>
      </c>
      <c r="R218" s="3">
        <f t="shared" si="56"/>
        <v>1.6259999999999999</v>
      </c>
      <c r="S218" s="3">
        <f t="shared" si="57"/>
        <v>2.371</v>
      </c>
      <c r="T218" s="3">
        <f t="shared" si="58"/>
        <v>-2.3340000000000001</v>
      </c>
      <c r="U218" s="3"/>
      <c r="V218" s="3">
        <f t="shared" si="59"/>
        <v>3.4689999999999999</v>
      </c>
      <c r="W218" s="3">
        <f t="shared" si="60"/>
        <v>-7.5339999999999998</v>
      </c>
      <c r="Y218" s="3">
        <f t="shared" si="61"/>
        <v>14.541</v>
      </c>
      <c r="Z218" s="3">
        <f t="shared" si="62"/>
        <v>-4.0649999999999995</v>
      </c>
      <c r="AA218" s="3">
        <f t="shared" si="63"/>
        <v>10.476000000000003</v>
      </c>
      <c r="AB218" s="3"/>
      <c r="AC218" s="2" t="str">
        <f t="shared" si="64"/>
        <v>1994-02</v>
      </c>
      <c r="AD218" s="9">
        <f t="shared" si="65"/>
        <v>35.769000000000005</v>
      </c>
      <c r="AE218" s="9">
        <f t="shared" si="66"/>
        <v>-46.521999999999998</v>
      </c>
      <c r="AF218" s="9">
        <f t="shared" si="67"/>
        <v>-10.753</v>
      </c>
      <c r="AG218" s="9"/>
      <c r="AH218" s="10">
        <v>34366</v>
      </c>
      <c r="AI218" s="9">
        <f t="shared" si="68"/>
        <v>40.057000000000002</v>
      </c>
      <c r="AJ218" s="9">
        <f t="shared" si="69"/>
        <v>38.392999999999986</v>
      </c>
      <c r="AK218" s="9">
        <f t="shared" si="70"/>
        <v>31.797000000000001</v>
      </c>
      <c r="AL218" s="9">
        <f t="shared" si="71"/>
        <v>-74.478000000000009</v>
      </c>
      <c r="AM218" s="12">
        <f t="shared" si="72"/>
        <v>-50.81</v>
      </c>
    </row>
    <row r="219" spans="1:39" x14ac:dyDescent="0.25">
      <c r="A219">
        <v>99996</v>
      </c>
      <c r="B219" t="s">
        <v>206</v>
      </c>
      <c r="C219" s="13">
        <v>252158</v>
      </c>
      <c r="D219" s="13">
        <v>16472</v>
      </c>
      <c r="E219" s="13">
        <v>13764</v>
      </c>
      <c r="F219" s="13">
        <v>35905</v>
      </c>
      <c r="G219" s="13">
        <v>114961</v>
      </c>
      <c r="H219" s="13">
        <v>37742</v>
      </c>
      <c r="J219" s="13">
        <v>253129</v>
      </c>
      <c r="K219" s="13">
        <v>15779</v>
      </c>
      <c r="L219" s="13">
        <v>9311</v>
      </c>
      <c r="M219" s="13">
        <v>35740</v>
      </c>
      <c r="N219" s="13">
        <v>104522</v>
      </c>
      <c r="O219" s="13">
        <v>43941</v>
      </c>
      <c r="Q219" s="3">
        <f t="shared" si="55"/>
        <v>-0.97099999999999997</v>
      </c>
      <c r="R219" s="3">
        <f t="shared" si="56"/>
        <v>0.69299999999999995</v>
      </c>
      <c r="S219" s="3">
        <f t="shared" si="57"/>
        <v>4.4530000000000003</v>
      </c>
      <c r="T219" s="3">
        <f t="shared" si="58"/>
        <v>10.439</v>
      </c>
      <c r="U219" s="3"/>
      <c r="V219" s="3">
        <f t="shared" si="59"/>
        <v>0.16500000000000001</v>
      </c>
      <c r="W219" s="3">
        <f t="shared" si="60"/>
        <v>-6.1989999999999998</v>
      </c>
      <c r="Y219" s="3">
        <f t="shared" si="61"/>
        <v>14.614000000000001</v>
      </c>
      <c r="Z219" s="3">
        <f t="shared" si="62"/>
        <v>-6.0339999999999998</v>
      </c>
      <c r="AA219" s="3">
        <f t="shared" si="63"/>
        <v>8.58</v>
      </c>
      <c r="AB219" s="3"/>
      <c r="AC219" s="2" t="str">
        <f t="shared" si="64"/>
        <v>1994-03</v>
      </c>
      <c r="AD219" s="9">
        <f t="shared" si="65"/>
        <v>46.681000000000012</v>
      </c>
      <c r="AE219" s="9">
        <f t="shared" si="66"/>
        <v>-51.018999999999991</v>
      </c>
      <c r="AF219" s="9">
        <f t="shared" si="67"/>
        <v>-4.3379999999999921</v>
      </c>
      <c r="AG219" s="9"/>
      <c r="AH219" s="10">
        <v>34394</v>
      </c>
      <c r="AI219" s="9">
        <f t="shared" si="68"/>
        <v>32.508000000000003</v>
      </c>
      <c r="AJ219" s="9">
        <f t="shared" si="69"/>
        <v>39.559999999999988</v>
      </c>
      <c r="AK219" s="9">
        <f t="shared" si="70"/>
        <v>33.783999999999999</v>
      </c>
      <c r="AL219" s="9">
        <f t="shared" si="71"/>
        <v>-59.170999999999999</v>
      </c>
      <c r="AM219" s="12">
        <f t="shared" si="72"/>
        <v>-36.845999999999997</v>
      </c>
    </row>
    <row r="220" spans="1:39" x14ac:dyDescent="0.25">
      <c r="A220">
        <v>99996</v>
      </c>
      <c r="B220" t="s">
        <v>207</v>
      </c>
      <c r="C220" s="13">
        <v>191406</v>
      </c>
      <c r="D220" s="13">
        <v>18732</v>
      </c>
      <c r="E220" s="13">
        <v>10688</v>
      </c>
      <c r="F220" s="13">
        <v>29261</v>
      </c>
      <c r="G220" s="13">
        <v>67624</v>
      </c>
      <c r="H220" s="13">
        <v>33035</v>
      </c>
      <c r="J220" s="13">
        <v>206061</v>
      </c>
      <c r="K220" s="13">
        <v>19153</v>
      </c>
      <c r="L220" s="13">
        <v>8177</v>
      </c>
      <c r="M220" s="13">
        <v>31075</v>
      </c>
      <c r="N220" s="13">
        <v>71297</v>
      </c>
      <c r="O220" s="13">
        <v>35336</v>
      </c>
      <c r="Q220" s="3">
        <f t="shared" si="55"/>
        <v>-14.654999999999999</v>
      </c>
      <c r="R220" s="3">
        <f t="shared" si="56"/>
        <v>-0.42099999999999999</v>
      </c>
      <c r="S220" s="3">
        <f t="shared" si="57"/>
        <v>2.5110000000000001</v>
      </c>
      <c r="T220" s="3">
        <f t="shared" si="58"/>
        <v>-3.673</v>
      </c>
      <c r="U220" s="3"/>
      <c r="V220" s="3">
        <f t="shared" si="59"/>
        <v>-1.8140000000000001</v>
      </c>
      <c r="W220" s="3">
        <f t="shared" si="60"/>
        <v>-2.3010000000000002</v>
      </c>
      <c r="Y220" s="3">
        <f t="shared" si="61"/>
        <v>-16.238</v>
      </c>
      <c r="Z220" s="3">
        <f t="shared" si="62"/>
        <v>-4.1150000000000002</v>
      </c>
      <c r="AA220" s="3">
        <f t="shared" si="63"/>
        <v>-20.353000000000002</v>
      </c>
      <c r="AB220" s="3"/>
      <c r="AC220" s="2" t="str">
        <f t="shared" si="64"/>
        <v>1994-04</v>
      </c>
      <c r="AD220" s="9">
        <f t="shared" si="65"/>
        <v>24.428000000000004</v>
      </c>
      <c r="AE220" s="9">
        <f t="shared" si="66"/>
        <v>-50.795999999999992</v>
      </c>
      <c r="AF220" s="9">
        <f t="shared" si="67"/>
        <v>-26.368000000000002</v>
      </c>
      <c r="AG220" s="9"/>
      <c r="AH220" s="10">
        <v>34425</v>
      </c>
      <c r="AI220" s="9">
        <f t="shared" si="68"/>
        <v>13.487000000000004</v>
      </c>
      <c r="AJ220" s="9">
        <f t="shared" si="69"/>
        <v>37.462999999999987</v>
      </c>
      <c r="AK220" s="9">
        <f t="shared" si="70"/>
        <v>32.762999999999998</v>
      </c>
      <c r="AL220" s="9">
        <f t="shared" si="71"/>
        <v>-59.285000000000004</v>
      </c>
      <c r="AM220" s="12">
        <f t="shared" si="72"/>
        <v>-39.855000000000004</v>
      </c>
    </row>
    <row r="221" spans="1:39" x14ac:dyDescent="0.25">
      <c r="A221">
        <v>99996</v>
      </c>
      <c r="B221" t="s">
        <v>208</v>
      </c>
      <c r="C221" s="13">
        <v>279925</v>
      </c>
      <c r="D221" s="13">
        <v>15264</v>
      </c>
      <c r="E221" s="13">
        <v>9089</v>
      </c>
      <c r="F221" s="13">
        <v>25615</v>
      </c>
      <c r="G221" s="13">
        <v>62317</v>
      </c>
      <c r="H221" s="13">
        <v>30719</v>
      </c>
      <c r="J221" s="13">
        <v>260445</v>
      </c>
      <c r="K221" s="13">
        <v>11899</v>
      </c>
      <c r="L221" s="13">
        <v>8561</v>
      </c>
      <c r="M221" s="13">
        <v>24286</v>
      </c>
      <c r="N221" s="13">
        <v>59673</v>
      </c>
      <c r="O221" s="13">
        <v>34726</v>
      </c>
      <c r="Q221" s="3">
        <f t="shared" si="55"/>
        <v>19.48</v>
      </c>
      <c r="R221" s="3">
        <f t="shared" si="56"/>
        <v>3.3650000000000002</v>
      </c>
      <c r="S221" s="3">
        <f t="shared" si="57"/>
        <v>0.52800000000000002</v>
      </c>
      <c r="T221" s="3">
        <f t="shared" si="58"/>
        <v>2.6440000000000001</v>
      </c>
      <c r="U221" s="3"/>
      <c r="V221" s="3">
        <f t="shared" si="59"/>
        <v>1.329</v>
      </c>
      <c r="W221" s="3">
        <f t="shared" si="60"/>
        <v>-4.0069999999999997</v>
      </c>
      <c r="Y221" s="3">
        <f t="shared" si="61"/>
        <v>26.016999999999996</v>
      </c>
      <c r="Z221" s="3">
        <f t="shared" si="62"/>
        <v>-2.6779999999999999</v>
      </c>
      <c r="AA221" s="3">
        <f t="shared" si="63"/>
        <v>23.338999999999999</v>
      </c>
      <c r="AB221" s="3"/>
      <c r="AC221" s="2" t="str">
        <f t="shared" si="64"/>
        <v>1994-05</v>
      </c>
      <c r="AD221" s="9">
        <f t="shared" si="65"/>
        <v>50.334000000000003</v>
      </c>
      <c r="AE221" s="9">
        <f t="shared" si="66"/>
        <v>-50.26</v>
      </c>
      <c r="AF221" s="9">
        <f t="shared" si="67"/>
        <v>7.4000000000005173E-2</v>
      </c>
      <c r="AG221" s="9"/>
      <c r="AH221" s="10">
        <v>34455</v>
      </c>
      <c r="AI221" s="9">
        <f t="shared" si="68"/>
        <v>34.126000000000005</v>
      </c>
      <c r="AJ221" s="9">
        <f t="shared" si="69"/>
        <v>37.387999999999991</v>
      </c>
      <c r="AK221" s="9">
        <f t="shared" si="70"/>
        <v>32.92</v>
      </c>
      <c r="AL221" s="9">
        <f t="shared" si="71"/>
        <v>-54.100000000000009</v>
      </c>
      <c r="AM221" s="12">
        <f t="shared" si="72"/>
        <v>-34.052</v>
      </c>
    </row>
    <row r="222" spans="1:39" x14ac:dyDescent="0.25">
      <c r="A222">
        <v>99996</v>
      </c>
      <c r="B222" t="s">
        <v>209</v>
      </c>
      <c r="C222" s="13">
        <v>221934</v>
      </c>
      <c r="D222" s="13">
        <v>15712</v>
      </c>
      <c r="E222" s="13">
        <v>15500</v>
      </c>
      <c r="F222" s="13">
        <v>27016</v>
      </c>
      <c r="G222" s="13">
        <v>66949</v>
      </c>
      <c r="H222" s="13">
        <v>30676</v>
      </c>
      <c r="J222" s="13">
        <v>225979</v>
      </c>
      <c r="K222" s="13">
        <v>12703</v>
      </c>
      <c r="L222" s="13">
        <v>7707</v>
      </c>
      <c r="M222" s="13">
        <v>29261</v>
      </c>
      <c r="N222" s="13">
        <v>64904</v>
      </c>
      <c r="O222" s="13">
        <v>36897</v>
      </c>
      <c r="Q222" s="3">
        <f t="shared" si="55"/>
        <v>-4.0449999999999999</v>
      </c>
      <c r="R222" s="3">
        <f t="shared" si="56"/>
        <v>3.0089999999999999</v>
      </c>
      <c r="S222" s="3">
        <f t="shared" si="57"/>
        <v>7.7930000000000001</v>
      </c>
      <c r="T222" s="3">
        <f t="shared" si="58"/>
        <v>2.0449999999999999</v>
      </c>
      <c r="U222" s="3"/>
      <c r="V222" s="3">
        <f t="shared" si="59"/>
        <v>-2.2450000000000001</v>
      </c>
      <c r="W222" s="3">
        <f t="shared" si="60"/>
        <v>-6.2210000000000001</v>
      </c>
      <c r="Y222" s="3">
        <f t="shared" si="61"/>
        <v>8.8019999999999996</v>
      </c>
      <c r="Z222" s="3">
        <f t="shared" si="62"/>
        <v>-8.4660000000000011</v>
      </c>
      <c r="AA222" s="3">
        <f t="shared" si="63"/>
        <v>0.33599999999999941</v>
      </c>
      <c r="AB222" s="3"/>
      <c r="AC222" s="2" t="str">
        <f t="shared" si="64"/>
        <v>1994-06</v>
      </c>
      <c r="AD222" s="9">
        <f t="shared" si="65"/>
        <v>66.609000000000009</v>
      </c>
      <c r="AE222" s="9">
        <f t="shared" si="66"/>
        <v>-53.887999999999998</v>
      </c>
      <c r="AF222" s="9">
        <f t="shared" si="67"/>
        <v>12.721</v>
      </c>
      <c r="AG222" s="9"/>
      <c r="AH222" s="10">
        <v>34486</v>
      </c>
      <c r="AI222" s="9">
        <f t="shared" si="68"/>
        <v>35.778999999999996</v>
      </c>
      <c r="AJ222" s="9">
        <f t="shared" si="69"/>
        <v>36.549000000000007</v>
      </c>
      <c r="AK222" s="9">
        <f t="shared" si="70"/>
        <v>37.294999999999995</v>
      </c>
      <c r="AL222" s="9">
        <f t="shared" si="71"/>
        <v>-43.013999999999996</v>
      </c>
      <c r="AM222" s="12">
        <f t="shared" si="72"/>
        <v>-23.057999999999996</v>
      </c>
    </row>
    <row r="223" spans="1:39" x14ac:dyDescent="0.25">
      <c r="A223">
        <v>99996</v>
      </c>
      <c r="B223" t="s">
        <v>210</v>
      </c>
      <c r="C223" s="13">
        <v>165126</v>
      </c>
      <c r="D223" s="13">
        <v>14163</v>
      </c>
      <c r="E223" s="13">
        <v>9846</v>
      </c>
      <c r="F223" s="13">
        <v>24289</v>
      </c>
      <c r="G223" s="13">
        <v>54456</v>
      </c>
      <c r="H223" s="13">
        <v>29717</v>
      </c>
      <c r="J223" s="13">
        <v>164117</v>
      </c>
      <c r="K223" s="13">
        <v>12082</v>
      </c>
      <c r="L223" s="13">
        <v>6946</v>
      </c>
      <c r="M223" s="13">
        <v>25119</v>
      </c>
      <c r="N223" s="13">
        <v>57234</v>
      </c>
      <c r="O223" s="13">
        <v>32857</v>
      </c>
      <c r="Q223" s="3">
        <f t="shared" si="55"/>
        <v>1.0089999999999999</v>
      </c>
      <c r="R223" s="3">
        <f t="shared" si="56"/>
        <v>2.081</v>
      </c>
      <c r="S223" s="3">
        <f t="shared" si="57"/>
        <v>2.9</v>
      </c>
      <c r="T223" s="3">
        <f t="shared" si="58"/>
        <v>-2.778</v>
      </c>
      <c r="U223" s="3"/>
      <c r="V223" s="3">
        <f t="shared" si="59"/>
        <v>-0.83</v>
      </c>
      <c r="W223" s="3">
        <f t="shared" si="60"/>
        <v>-3.14</v>
      </c>
      <c r="Y223" s="3">
        <f t="shared" si="61"/>
        <v>3.2120000000000002</v>
      </c>
      <c r="Z223" s="3">
        <f t="shared" si="62"/>
        <v>-3.97</v>
      </c>
      <c r="AA223" s="3">
        <f t="shared" si="63"/>
        <v>-0.75800000000000001</v>
      </c>
      <c r="AB223" s="3"/>
      <c r="AC223" s="2" t="str">
        <f t="shared" si="64"/>
        <v>1994-07</v>
      </c>
      <c r="AD223" s="9">
        <f t="shared" si="65"/>
        <v>82.095000000000013</v>
      </c>
      <c r="AE223" s="9">
        <f t="shared" si="66"/>
        <v>-50.776999999999994</v>
      </c>
      <c r="AF223" s="9">
        <f t="shared" si="67"/>
        <v>31.318000000000001</v>
      </c>
      <c r="AG223" s="9"/>
      <c r="AH223" s="10">
        <v>34516</v>
      </c>
      <c r="AI223" s="9">
        <f t="shared" si="68"/>
        <v>38.659000000000006</v>
      </c>
      <c r="AJ223" s="9">
        <f t="shared" si="69"/>
        <v>36.822000000000003</v>
      </c>
      <c r="AK223" s="9">
        <f t="shared" si="70"/>
        <v>39.994999999999997</v>
      </c>
      <c r="AL223" s="9">
        <f t="shared" si="71"/>
        <v>-33.381000000000007</v>
      </c>
      <c r="AM223" s="12">
        <f t="shared" si="72"/>
        <v>-7.3410000000000046</v>
      </c>
    </row>
    <row r="224" spans="1:39" x14ac:dyDescent="0.25">
      <c r="A224">
        <v>99996</v>
      </c>
      <c r="B224" t="s">
        <v>211</v>
      </c>
      <c r="C224" s="13">
        <v>272689</v>
      </c>
      <c r="D224" s="13">
        <v>11970</v>
      </c>
      <c r="E224" s="13">
        <v>11329</v>
      </c>
      <c r="F224" s="13">
        <v>29179</v>
      </c>
      <c r="G224" s="13">
        <v>60265</v>
      </c>
      <c r="H224" s="13">
        <v>30837</v>
      </c>
      <c r="J224" s="13">
        <v>256658</v>
      </c>
      <c r="K224" s="13">
        <v>9330</v>
      </c>
      <c r="L224" s="13">
        <v>6453</v>
      </c>
      <c r="M224" s="13">
        <v>26365</v>
      </c>
      <c r="N224" s="13">
        <v>60007</v>
      </c>
      <c r="O224" s="13">
        <v>35213</v>
      </c>
      <c r="Q224" s="3">
        <f t="shared" si="55"/>
        <v>16.030999999999999</v>
      </c>
      <c r="R224" s="3">
        <f t="shared" si="56"/>
        <v>2.64</v>
      </c>
      <c r="S224" s="3">
        <f t="shared" si="57"/>
        <v>4.8760000000000003</v>
      </c>
      <c r="T224" s="3">
        <f t="shared" si="58"/>
        <v>0.25800000000000001</v>
      </c>
      <c r="U224" s="3"/>
      <c r="V224" s="3">
        <f t="shared" si="59"/>
        <v>2.8140000000000001</v>
      </c>
      <c r="W224" s="3">
        <f t="shared" si="60"/>
        <v>-4.3760000000000003</v>
      </c>
      <c r="Y224" s="3">
        <f t="shared" si="61"/>
        <v>23.805</v>
      </c>
      <c r="Z224" s="3">
        <f t="shared" si="62"/>
        <v>-1.5620000000000003</v>
      </c>
      <c r="AA224" s="3">
        <f t="shared" si="63"/>
        <v>22.242999999999999</v>
      </c>
      <c r="AB224" s="3"/>
      <c r="AC224" s="2" t="str">
        <f t="shared" si="64"/>
        <v>1994-08</v>
      </c>
      <c r="AD224" s="9">
        <f t="shared" si="65"/>
        <v>91.682999999999993</v>
      </c>
      <c r="AE224" s="9">
        <f t="shared" si="66"/>
        <v>-46.085999999999991</v>
      </c>
      <c r="AF224" s="9">
        <f t="shared" si="67"/>
        <v>45.596999999999994</v>
      </c>
      <c r="AG224" s="9"/>
      <c r="AH224" s="10">
        <v>34547</v>
      </c>
      <c r="AI224" s="9">
        <f t="shared" si="68"/>
        <v>40.71</v>
      </c>
      <c r="AJ224" s="9">
        <f t="shared" si="69"/>
        <v>37.015000000000008</v>
      </c>
      <c r="AK224" s="9">
        <f t="shared" si="70"/>
        <v>41.279999999999994</v>
      </c>
      <c r="AL224" s="9">
        <f t="shared" si="71"/>
        <v>-27.322000000000006</v>
      </c>
      <c r="AM224" s="12">
        <f t="shared" si="72"/>
        <v>4.8869999999999933</v>
      </c>
    </row>
    <row r="225" spans="1:39" x14ac:dyDescent="0.25">
      <c r="A225">
        <v>99996</v>
      </c>
      <c r="B225" t="s">
        <v>212</v>
      </c>
      <c r="C225" s="13">
        <v>209042</v>
      </c>
      <c r="D225" s="13">
        <v>9116</v>
      </c>
      <c r="E225" s="13">
        <v>10142</v>
      </c>
      <c r="F225" s="13">
        <v>28819</v>
      </c>
      <c r="G225" s="13">
        <v>67329</v>
      </c>
      <c r="H225" s="13">
        <v>37791</v>
      </c>
      <c r="J225" s="13">
        <v>197100</v>
      </c>
      <c r="K225" s="13">
        <v>9914</v>
      </c>
      <c r="L225" s="13">
        <v>7086</v>
      </c>
      <c r="M225" s="13">
        <v>30463</v>
      </c>
      <c r="N225" s="13">
        <v>67963</v>
      </c>
      <c r="O225" s="13">
        <v>37271</v>
      </c>
      <c r="Q225" s="3">
        <f t="shared" si="55"/>
        <v>11.942</v>
      </c>
      <c r="R225" s="3">
        <f t="shared" si="56"/>
        <v>-0.79800000000000004</v>
      </c>
      <c r="S225" s="3">
        <f t="shared" si="57"/>
        <v>3.056</v>
      </c>
      <c r="T225" s="3">
        <f t="shared" si="58"/>
        <v>-0.63400000000000001</v>
      </c>
      <c r="U225" s="3"/>
      <c r="V225" s="3">
        <f t="shared" si="59"/>
        <v>-1.6439999999999999</v>
      </c>
      <c r="W225" s="3">
        <f t="shared" si="60"/>
        <v>0.52</v>
      </c>
      <c r="Y225" s="3">
        <f t="shared" si="61"/>
        <v>13.565999999999999</v>
      </c>
      <c r="Z225" s="3">
        <f t="shared" si="62"/>
        <v>-1.1239999999999999</v>
      </c>
      <c r="AA225" s="3">
        <f t="shared" si="63"/>
        <v>12.441999999999998</v>
      </c>
      <c r="AB225" s="3"/>
      <c r="AC225" s="2" t="str">
        <f t="shared" si="64"/>
        <v>1994-09</v>
      </c>
      <c r="AD225" s="9">
        <f t="shared" si="65"/>
        <v>119.91200000000001</v>
      </c>
      <c r="AE225" s="9">
        <f t="shared" si="66"/>
        <v>-42.716000000000001</v>
      </c>
      <c r="AF225" s="9">
        <f t="shared" si="67"/>
        <v>77.195999999999984</v>
      </c>
      <c r="AG225" s="9"/>
      <c r="AH225" s="10">
        <v>34578</v>
      </c>
      <c r="AI225" s="9">
        <f t="shared" si="68"/>
        <v>63.512</v>
      </c>
      <c r="AJ225" s="9">
        <f t="shared" si="69"/>
        <v>30.704000000000008</v>
      </c>
      <c r="AK225" s="9">
        <f t="shared" si="70"/>
        <v>41.087999999999994</v>
      </c>
      <c r="AL225" s="9">
        <f t="shared" si="71"/>
        <v>-15.391999999999999</v>
      </c>
      <c r="AM225" s="12">
        <f t="shared" si="72"/>
        <v>13.683999999999983</v>
      </c>
    </row>
    <row r="226" spans="1:39" x14ac:dyDescent="0.25">
      <c r="A226">
        <v>99996</v>
      </c>
      <c r="B226" t="s">
        <v>213</v>
      </c>
      <c r="C226" s="13">
        <v>209478</v>
      </c>
      <c r="D226" s="13">
        <v>9906</v>
      </c>
      <c r="E226" s="13">
        <v>9982</v>
      </c>
      <c r="F226" s="13">
        <v>27811</v>
      </c>
      <c r="G226" s="13">
        <v>58647</v>
      </c>
      <c r="H226" s="13">
        <v>29867</v>
      </c>
      <c r="J226" s="13">
        <v>199251</v>
      </c>
      <c r="K226" s="13">
        <v>9082</v>
      </c>
      <c r="L226" s="13">
        <v>7513</v>
      </c>
      <c r="M226" s="13">
        <v>29852</v>
      </c>
      <c r="N226" s="13">
        <v>63986</v>
      </c>
      <c r="O226" s="13">
        <v>34294</v>
      </c>
      <c r="Q226" s="3">
        <f t="shared" si="55"/>
        <v>10.227</v>
      </c>
      <c r="R226" s="3">
        <f t="shared" si="56"/>
        <v>0.82399999999999995</v>
      </c>
      <c r="S226" s="3">
        <f t="shared" si="57"/>
        <v>2.4689999999999999</v>
      </c>
      <c r="T226" s="3">
        <f t="shared" si="58"/>
        <v>-5.3390000000000004</v>
      </c>
      <c r="U226" s="3"/>
      <c r="V226" s="3">
        <f t="shared" si="59"/>
        <v>-2.0409999999999999</v>
      </c>
      <c r="W226" s="3">
        <f t="shared" si="60"/>
        <v>-4.4269999999999996</v>
      </c>
      <c r="Y226" s="3">
        <f t="shared" si="61"/>
        <v>8.1809999999999992</v>
      </c>
      <c r="Z226" s="3">
        <f t="shared" si="62"/>
        <v>-6.468</v>
      </c>
      <c r="AA226" s="3">
        <f t="shared" si="63"/>
        <v>1.7129999999999992</v>
      </c>
      <c r="AB226" s="3"/>
      <c r="AC226" s="2" t="str">
        <f t="shared" si="64"/>
        <v>1994-10</v>
      </c>
      <c r="AD226" s="9">
        <f t="shared" si="65"/>
        <v>121.419</v>
      </c>
      <c r="AE226" s="9">
        <f t="shared" si="66"/>
        <v>-46.24499999999999</v>
      </c>
      <c r="AF226" s="9">
        <f t="shared" si="67"/>
        <v>75.173999999999978</v>
      </c>
      <c r="AG226" s="9"/>
      <c r="AH226" s="10">
        <v>34608</v>
      </c>
      <c r="AI226" s="9">
        <f t="shared" si="68"/>
        <v>69.688000000000002</v>
      </c>
      <c r="AJ226" s="9">
        <f t="shared" si="69"/>
        <v>27.890000000000004</v>
      </c>
      <c r="AK226" s="9">
        <f t="shared" si="70"/>
        <v>38.368999999999993</v>
      </c>
      <c r="AL226" s="9">
        <f t="shared" si="71"/>
        <v>-14.528000000000004</v>
      </c>
      <c r="AM226" s="12">
        <f t="shared" si="72"/>
        <v>5.4859999999999758</v>
      </c>
    </row>
    <row r="227" spans="1:39" x14ac:dyDescent="0.25">
      <c r="A227">
        <v>99996</v>
      </c>
      <c r="B227" t="s">
        <v>214</v>
      </c>
      <c r="C227" s="13">
        <v>242156</v>
      </c>
      <c r="D227" s="13">
        <v>10390</v>
      </c>
      <c r="E227" s="13">
        <v>11957</v>
      </c>
      <c r="F227" s="13">
        <v>28696</v>
      </c>
      <c r="G227" s="13">
        <v>62540</v>
      </c>
      <c r="H227" s="13">
        <v>28444</v>
      </c>
      <c r="J227" s="13">
        <v>229041</v>
      </c>
      <c r="K227" s="13">
        <v>7404</v>
      </c>
      <c r="L227" s="13">
        <v>8027</v>
      </c>
      <c r="M227" s="13">
        <v>27653</v>
      </c>
      <c r="N227" s="13">
        <v>66036</v>
      </c>
      <c r="O227" s="13">
        <v>30991</v>
      </c>
      <c r="Q227" s="3">
        <f t="shared" si="55"/>
        <v>13.115</v>
      </c>
      <c r="R227" s="3">
        <f t="shared" si="56"/>
        <v>2.9860000000000002</v>
      </c>
      <c r="S227" s="3">
        <f t="shared" si="57"/>
        <v>3.93</v>
      </c>
      <c r="T227" s="3">
        <f t="shared" si="58"/>
        <v>-3.496</v>
      </c>
      <c r="U227" s="3"/>
      <c r="V227" s="3">
        <f t="shared" si="59"/>
        <v>1.0429999999999999</v>
      </c>
      <c r="W227" s="3">
        <f t="shared" si="60"/>
        <v>-2.5470000000000002</v>
      </c>
      <c r="Y227" s="3">
        <f t="shared" si="61"/>
        <v>16.535</v>
      </c>
      <c r="Z227" s="3">
        <f t="shared" si="62"/>
        <v>-1.5040000000000002</v>
      </c>
      <c r="AA227" s="3">
        <f t="shared" si="63"/>
        <v>15.030999999999999</v>
      </c>
      <c r="AB227" s="3"/>
      <c r="AC227" s="2" t="str">
        <f t="shared" si="64"/>
        <v>1994-11</v>
      </c>
      <c r="AD227" s="9">
        <f t="shared" si="65"/>
        <v>114.267</v>
      </c>
      <c r="AE227" s="9">
        <f t="shared" si="66"/>
        <v>-44.231000000000002</v>
      </c>
      <c r="AF227" s="9">
        <f t="shared" si="67"/>
        <v>70.036000000000001</v>
      </c>
      <c r="AG227" s="9"/>
      <c r="AH227" s="10">
        <v>34639</v>
      </c>
      <c r="AI227" s="9">
        <f t="shared" si="68"/>
        <v>67.58</v>
      </c>
      <c r="AJ227" s="9">
        <f t="shared" si="69"/>
        <v>25.676000000000002</v>
      </c>
      <c r="AK227" s="9">
        <f t="shared" si="70"/>
        <v>40.451999999999998</v>
      </c>
      <c r="AL227" s="9">
        <f t="shared" si="71"/>
        <v>-19.441000000000003</v>
      </c>
      <c r="AM227" s="12">
        <f t="shared" si="72"/>
        <v>2.4560000000000031</v>
      </c>
    </row>
    <row r="228" spans="1:39" x14ac:dyDescent="0.25">
      <c r="A228">
        <v>99996</v>
      </c>
      <c r="B228" t="s">
        <v>215</v>
      </c>
      <c r="C228" s="13">
        <v>186425</v>
      </c>
      <c r="D228" s="13">
        <v>9294</v>
      </c>
      <c r="E228" s="13">
        <v>9388</v>
      </c>
      <c r="F228" s="13">
        <v>28094</v>
      </c>
      <c r="G228" s="13">
        <v>66608</v>
      </c>
      <c r="H228" s="13">
        <v>26332</v>
      </c>
      <c r="J228" s="13">
        <v>174673</v>
      </c>
      <c r="K228" s="13">
        <v>7254</v>
      </c>
      <c r="L228" s="13">
        <v>7448</v>
      </c>
      <c r="M228" s="13">
        <v>29727</v>
      </c>
      <c r="N228" s="13">
        <v>66298</v>
      </c>
      <c r="O228" s="13">
        <v>28693</v>
      </c>
      <c r="Q228" s="3">
        <f t="shared" si="55"/>
        <v>11.752000000000001</v>
      </c>
      <c r="R228" s="3">
        <f t="shared" si="56"/>
        <v>2.04</v>
      </c>
      <c r="S228" s="3">
        <f t="shared" si="57"/>
        <v>1.94</v>
      </c>
      <c r="T228" s="3">
        <f t="shared" si="58"/>
        <v>0.31</v>
      </c>
      <c r="U228" s="3"/>
      <c r="V228" s="3">
        <f t="shared" si="59"/>
        <v>-1.633</v>
      </c>
      <c r="W228" s="3">
        <f t="shared" si="60"/>
        <v>-2.3610000000000002</v>
      </c>
      <c r="Y228" s="3">
        <f t="shared" si="61"/>
        <v>16.042000000000002</v>
      </c>
      <c r="Z228" s="3">
        <f t="shared" si="62"/>
        <v>-3.9940000000000002</v>
      </c>
      <c r="AA228" s="3">
        <f t="shared" si="63"/>
        <v>12.048000000000002</v>
      </c>
      <c r="AB228" s="3"/>
      <c r="AC228" s="2" t="str">
        <f t="shared" si="64"/>
        <v>1994-12</v>
      </c>
      <c r="AD228" s="9">
        <f t="shared" si="65"/>
        <v>129.249</v>
      </c>
      <c r="AE228" s="9">
        <f t="shared" si="66"/>
        <v>-46.193999999999996</v>
      </c>
      <c r="AF228" s="9">
        <f t="shared" si="67"/>
        <v>83.055000000000007</v>
      </c>
      <c r="AG228" s="9"/>
      <c r="AH228" s="10">
        <v>34669</v>
      </c>
      <c r="AI228" s="9">
        <f t="shared" si="68"/>
        <v>78.800999999999988</v>
      </c>
      <c r="AJ228" s="9">
        <f t="shared" si="69"/>
        <v>21.68</v>
      </c>
      <c r="AK228" s="9">
        <f t="shared" si="70"/>
        <v>37.991999999999997</v>
      </c>
      <c r="AL228" s="9">
        <f t="shared" si="71"/>
        <v>-9.2240000000000002</v>
      </c>
      <c r="AM228" s="12">
        <f t="shared" si="72"/>
        <v>4.2540000000000191</v>
      </c>
    </row>
    <row r="229" spans="1:39" x14ac:dyDescent="0.25">
      <c r="A229">
        <v>99996</v>
      </c>
      <c r="B229" t="s">
        <v>216</v>
      </c>
      <c r="C229" s="13">
        <v>236033</v>
      </c>
      <c r="D229" s="13">
        <v>9413</v>
      </c>
      <c r="E229" s="13">
        <v>9966</v>
      </c>
      <c r="F229" s="13">
        <v>25030</v>
      </c>
      <c r="G229" s="13">
        <v>68281</v>
      </c>
      <c r="H229" s="13">
        <v>26322</v>
      </c>
      <c r="J229" s="13">
        <v>226455</v>
      </c>
      <c r="K229" s="13">
        <v>7416</v>
      </c>
      <c r="L229" s="13">
        <v>5210</v>
      </c>
      <c r="M229" s="13">
        <v>25907</v>
      </c>
      <c r="N229" s="13">
        <v>69091</v>
      </c>
      <c r="O229" s="13">
        <v>26496</v>
      </c>
      <c r="Q229" s="3">
        <f t="shared" si="55"/>
        <v>9.5779999999999994</v>
      </c>
      <c r="R229" s="3">
        <f t="shared" si="56"/>
        <v>1.9970000000000001</v>
      </c>
      <c r="S229" s="3">
        <f t="shared" si="57"/>
        <v>4.7560000000000002</v>
      </c>
      <c r="T229" s="3">
        <f t="shared" si="58"/>
        <v>-0.81</v>
      </c>
      <c r="U229" s="3"/>
      <c r="V229" s="3">
        <f t="shared" si="59"/>
        <v>-0.877</v>
      </c>
      <c r="W229" s="3">
        <f t="shared" si="60"/>
        <v>-0.17399999999999999</v>
      </c>
      <c r="Y229" s="3">
        <f t="shared" si="61"/>
        <v>15.520999999999999</v>
      </c>
      <c r="Z229" s="3">
        <f t="shared" si="62"/>
        <v>-1.0509999999999999</v>
      </c>
      <c r="AA229" s="3">
        <f t="shared" si="63"/>
        <v>14.469999999999999</v>
      </c>
      <c r="AB229" s="3"/>
      <c r="AC229" s="2" t="str">
        <f t="shared" si="64"/>
        <v>1995-01</v>
      </c>
      <c r="AD229" s="9">
        <f t="shared" si="65"/>
        <v>144.59799999999998</v>
      </c>
      <c r="AE229" s="9">
        <f t="shared" si="66"/>
        <v>-45.030999999999999</v>
      </c>
      <c r="AF229" s="9">
        <f t="shared" si="67"/>
        <v>99.567000000000007</v>
      </c>
      <c r="AG229" s="9"/>
      <c r="AH229" s="10">
        <v>34700</v>
      </c>
      <c r="AI229" s="9">
        <f t="shared" si="68"/>
        <v>86.340999999999994</v>
      </c>
      <c r="AJ229" s="9">
        <f t="shared" si="69"/>
        <v>20.041999999999998</v>
      </c>
      <c r="AK229" s="9">
        <f t="shared" si="70"/>
        <v>41.583000000000006</v>
      </c>
      <c r="AL229" s="9">
        <f t="shared" si="71"/>
        <v>-3.3680000000000008</v>
      </c>
      <c r="AM229" s="12">
        <f t="shared" si="72"/>
        <v>13.226000000000013</v>
      </c>
    </row>
    <row r="230" spans="1:39" x14ac:dyDescent="0.25">
      <c r="A230">
        <v>99996</v>
      </c>
      <c r="B230" t="s">
        <v>217</v>
      </c>
      <c r="C230" s="13">
        <v>265180</v>
      </c>
      <c r="D230" s="13">
        <v>9654</v>
      </c>
      <c r="E230" s="13">
        <v>13155</v>
      </c>
      <c r="F230" s="13">
        <v>29476</v>
      </c>
      <c r="G230" s="13">
        <v>61402</v>
      </c>
      <c r="H230" s="13">
        <v>27161</v>
      </c>
      <c r="J230" s="13">
        <v>251077</v>
      </c>
      <c r="K230" s="13">
        <v>7711</v>
      </c>
      <c r="L230" s="13">
        <v>8643</v>
      </c>
      <c r="M230" s="13">
        <v>29695</v>
      </c>
      <c r="N230" s="13">
        <v>63252</v>
      </c>
      <c r="O230" s="13">
        <v>28276</v>
      </c>
      <c r="Q230" s="3">
        <f t="shared" si="55"/>
        <v>14.103</v>
      </c>
      <c r="R230" s="3">
        <f t="shared" si="56"/>
        <v>1.9430000000000001</v>
      </c>
      <c r="S230" s="3">
        <f t="shared" si="57"/>
        <v>4.5119999999999996</v>
      </c>
      <c r="T230" s="3">
        <f t="shared" si="58"/>
        <v>-1.85</v>
      </c>
      <c r="U230" s="3"/>
      <c r="V230" s="3">
        <f t="shared" si="59"/>
        <v>-0.219</v>
      </c>
      <c r="W230" s="3">
        <f t="shared" si="60"/>
        <v>-1.115</v>
      </c>
      <c r="Y230" s="3">
        <f t="shared" si="61"/>
        <v>18.707999999999998</v>
      </c>
      <c r="Z230" s="3">
        <f t="shared" si="62"/>
        <v>-1.3340000000000001</v>
      </c>
      <c r="AA230" s="3">
        <f t="shared" si="63"/>
        <v>17.373999999999999</v>
      </c>
      <c r="AB230" s="3"/>
      <c r="AC230" s="2" t="str">
        <f t="shared" si="64"/>
        <v>1995-02</v>
      </c>
      <c r="AD230" s="9">
        <f t="shared" si="65"/>
        <v>148.76499999999999</v>
      </c>
      <c r="AE230" s="9">
        <f t="shared" si="66"/>
        <v>-42.300000000000004</v>
      </c>
      <c r="AF230" s="9">
        <f t="shared" si="67"/>
        <v>106.465</v>
      </c>
      <c r="AG230" s="9"/>
      <c r="AH230" s="10">
        <v>34731</v>
      </c>
      <c r="AI230" s="9">
        <f t="shared" si="68"/>
        <v>87.566000000000003</v>
      </c>
      <c r="AJ230" s="9">
        <f t="shared" si="69"/>
        <v>20.359000000000002</v>
      </c>
      <c r="AK230" s="9">
        <f t="shared" si="70"/>
        <v>43.724000000000004</v>
      </c>
      <c r="AL230" s="9">
        <f t="shared" si="71"/>
        <v>-2.8840000000000021</v>
      </c>
      <c r="AM230" s="12">
        <f t="shared" si="72"/>
        <v>18.899000000000001</v>
      </c>
    </row>
    <row r="231" spans="1:39" x14ac:dyDescent="0.25">
      <c r="A231">
        <v>99996</v>
      </c>
      <c r="B231" t="s">
        <v>218</v>
      </c>
      <c r="C231" s="13">
        <v>256520</v>
      </c>
      <c r="D231" s="13">
        <v>10332</v>
      </c>
      <c r="E231" s="13">
        <v>15058</v>
      </c>
      <c r="F231" s="13">
        <v>35342</v>
      </c>
      <c r="G231" s="13">
        <v>79173</v>
      </c>
      <c r="H231" s="13">
        <v>28928</v>
      </c>
      <c r="J231" s="13">
        <v>247309</v>
      </c>
      <c r="K231" s="13">
        <v>7763</v>
      </c>
      <c r="L231" s="13">
        <v>10125</v>
      </c>
      <c r="M231" s="13">
        <v>37662</v>
      </c>
      <c r="N231" s="13">
        <v>80068</v>
      </c>
      <c r="O231" s="13">
        <v>31787</v>
      </c>
      <c r="Q231" s="3">
        <f t="shared" si="55"/>
        <v>9.2110000000000003</v>
      </c>
      <c r="R231" s="3">
        <f t="shared" si="56"/>
        <v>2.569</v>
      </c>
      <c r="S231" s="3">
        <f t="shared" si="57"/>
        <v>4.9329999999999998</v>
      </c>
      <c r="T231" s="3">
        <f t="shared" si="58"/>
        <v>-0.89500000000000002</v>
      </c>
      <c r="U231" s="3"/>
      <c r="V231" s="3">
        <f t="shared" si="59"/>
        <v>-2.3199999999999998</v>
      </c>
      <c r="W231" s="3">
        <f t="shared" si="60"/>
        <v>-2.859</v>
      </c>
      <c r="Y231" s="3">
        <f t="shared" si="61"/>
        <v>15.818000000000001</v>
      </c>
      <c r="Z231" s="3">
        <f t="shared" si="62"/>
        <v>-5.1790000000000003</v>
      </c>
      <c r="AA231" s="3">
        <f t="shared" si="63"/>
        <v>10.639000000000001</v>
      </c>
      <c r="AB231" s="3"/>
      <c r="AC231" s="2" t="str">
        <f t="shared" si="64"/>
        <v>1995-03</v>
      </c>
      <c r="AD231" s="9">
        <f t="shared" si="65"/>
        <v>149.96900000000002</v>
      </c>
      <c r="AE231" s="9">
        <f t="shared" si="66"/>
        <v>-41.445000000000007</v>
      </c>
      <c r="AF231" s="9">
        <f t="shared" si="67"/>
        <v>108.52399999999999</v>
      </c>
      <c r="AG231" s="9"/>
      <c r="AH231" s="10">
        <v>34759</v>
      </c>
      <c r="AI231" s="9">
        <f t="shared" si="68"/>
        <v>97.748000000000005</v>
      </c>
      <c r="AJ231" s="9">
        <f t="shared" si="69"/>
        <v>22.235000000000003</v>
      </c>
      <c r="AK231" s="9">
        <f t="shared" si="70"/>
        <v>44.204000000000001</v>
      </c>
      <c r="AL231" s="9">
        <f t="shared" si="71"/>
        <v>-14.218</v>
      </c>
      <c r="AM231" s="12">
        <f t="shared" si="72"/>
        <v>10.775999999999982</v>
      </c>
    </row>
    <row r="232" spans="1:39" x14ac:dyDescent="0.25">
      <c r="A232">
        <v>99996</v>
      </c>
      <c r="B232" t="s">
        <v>219</v>
      </c>
      <c r="C232" s="13">
        <v>181310</v>
      </c>
      <c r="D232" s="13">
        <v>7470</v>
      </c>
      <c r="E232" s="13">
        <v>10693</v>
      </c>
      <c r="F232" s="13">
        <v>30100</v>
      </c>
      <c r="G232" s="13">
        <v>53644</v>
      </c>
      <c r="H232" s="13">
        <v>24519</v>
      </c>
      <c r="J232" s="13">
        <v>174910</v>
      </c>
      <c r="K232" s="13">
        <v>5384</v>
      </c>
      <c r="L232" s="13">
        <v>8727</v>
      </c>
      <c r="M232" s="13">
        <v>29232</v>
      </c>
      <c r="N232" s="13">
        <v>54467</v>
      </c>
      <c r="O232" s="13">
        <v>26657</v>
      </c>
      <c r="Q232" s="3">
        <f t="shared" si="55"/>
        <v>6.4</v>
      </c>
      <c r="R232" s="3">
        <f t="shared" si="56"/>
        <v>2.0859999999999999</v>
      </c>
      <c r="S232" s="3">
        <f t="shared" si="57"/>
        <v>1.966</v>
      </c>
      <c r="T232" s="3">
        <f t="shared" si="58"/>
        <v>-0.82299999999999995</v>
      </c>
      <c r="U232" s="3"/>
      <c r="V232" s="3">
        <f t="shared" si="59"/>
        <v>0.86799999999999999</v>
      </c>
      <c r="W232" s="3">
        <f t="shared" si="60"/>
        <v>-2.1379999999999999</v>
      </c>
      <c r="Y232" s="3">
        <f t="shared" si="61"/>
        <v>9.6289999999999996</v>
      </c>
      <c r="Z232" s="3">
        <f t="shared" si="62"/>
        <v>-1.27</v>
      </c>
      <c r="AA232" s="3">
        <f t="shared" si="63"/>
        <v>8.359</v>
      </c>
      <c r="AB232" s="3"/>
      <c r="AC232" s="2" t="str">
        <f t="shared" si="64"/>
        <v>1995-04</v>
      </c>
      <c r="AD232" s="9">
        <f t="shared" si="65"/>
        <v>175.83599999999998</v>
      </c>
      <c r="AE232" s="9">
        <f t="shared" si="66"/>
        <v>-38.600000000000009</v>
      </c>
      <c r="AF232" s="9">
        <f t="shared" si="67"/>
        <v>137.23600000000002</v>
      </c>
      <c r="AG232" s="9"/>
      <c r="AH232" s="10">
        <v>34790</v>
      </c>
      <c r="AI232" s="9">
        <f t="shared" si="68"/>
        <v>118.80299999999998</v>
      </c>
      <c r="AJ232" s="9">
        <f t="shared" si="69"/>
        <v>24.742000000000001</v>
      </c>
      <c r="AK232" s="9">
        <f t="shared" si="70"/>
        <v>43.659000000000006</v>
      </c>
      <c r="AL232" s="9">
        <f t="shared" si="71"/>
        <v>-11.368</v>
      </c>
      <c r="AM232" s="12">
        <f t="shared" si="72"/>
        <v>18.433000000000035</v>
      </c>
    </row>
    <row r="233" spans="1:39" x14ac:dyDescent="0.25">
      <c r="A233">
        <v>99996</v>
      </c>
      <c r="B233" t="s">
        <v>220</v>
      </c>
      <c r="C233" s="13">
        <v>293589</v>
      </c>
      <c r="D233" s="13">
        <v>9458</v>
      </c>
      <c r="E233" s="13">
        <v>13372</v>
      </c>
      <c r="F233" s="13">
        <v>38781</v>
      </c>
      <c r="G233" s="13">
        <v>75222</v>
      </c>
      <c r="H233" s="13">
        <v>29239</v>
      </c>
      <c r="J233" s="13">
        <v>279074</v>
      </c>
      <c r="K233" s="13">
        <v>7774</v>
      </c>
      <c r="L233" s="13">
        <v>8857</v>
      </c>
      <c r="M233" s="13">
        <v>36099</v>
      </c>
      <c r="N233" s="13">
        <v>79726</v>
      </c>
      <c r="O233" s="13">
        <v>32917</v>
      </c>
      <c r="Q233" s="3">
        <f t="shared" si="55"/>
        <v>14.515000000000001</v>
      </c>
      <c r="R233" s="3">
        <f t="shared" si="56"/>
        <v>1.6839999999999999</v>
      </c>
      <c r="S233" s="3">
        <f t="shared" si="57"/>
        <v>4.5149999999999997</v>
      </c>
      <c r="T233" s="3">
        <f t="shared" si="58"/>
        <v>-4.5039999999999996</v>
      </c>
      <c r="U233" s="3"/>
      <c r="V233" s="3">
        <f t="shared" si="59"/>
        <v>2.6819999999999999</v>
      </c>
      <c r="W233" s="3">
        <f t="shared" si="60"/>
        <v>-3.6779999999999999</v>
      </c>
      <c r="Y233" s="3">
        <f t="shared" si="61"/>
        <v>16.21</v>
      </c>
      <c r="Z233" s="3">
        <f t="shared" si="62"/>
        <v>-0.996</v>
      </c>
      <c r="AA233" s="3">
        <f t="shared" si="63"/>
        <v>15.213999999999999</v>
      </c>
      <c r="AB233" s="3"/>
      <c r="AC233" s="2" t="str">
        <f t="shared" si="64"/>
        <v>1995-05</v>
      </c>
      <c r="AD233" s="9">
        <f t="shared" si="65"/>
        <v>166.029</v>
      </c>
      <c r="AE233" s="9">
        <f t="shared" si="66"/>
        <v>-36.918000000000006</v>
      </c>
      <c r="AF233" s="9">
        <f t="shared" si="67"/>
        <v>129.11099999999999</v>
      </c>
      <c r="AG233" s="9"/>
      <c r="AH233" s="10">
        <v>34820</v>
      </c>
      <c r="AI233" s="9">
        <f t="shared" si="68"/>
        <v>113.83800000000001</v>
      </c>
      <c r="AJ233" s="9">
        <f t="shared" si="69"/>
        <v>23.061</v>
      </c>
      <c r="AK233" s="9">
        <f t="shared" si="70"/>
        <v>47.646000000000001</v>
      </c>
      <c r="AL233" s="9">
        <f t="shared" si="71"/>
        <v>-18.515999999999998</v>
      </c>
      <c r="AM233" s="12">
        <f t="shared" si="72"/>
        <v>15.272999999999982</v>
      </c>
    </row>
    <row r="234" spans="1:39" x14ac:dyDescent="0.25">
      <c r="A234">
        <v>99996</v>
      </c>
      <c r="B234" t="s">
        <v>221</v>
      </c>
      <c r="C234" s="13">
        <v>294719</v>
      </c>
      <c r="D234" s="13">
        <v>11448</v>
      </c>
      <c r="E234" s="13">
        <v>16491</v>
      </c>
      <c r="F234" s="13">
        <v>45445</v>
      </c>
      <c r="G234" s="13">
        <v>96268</v>
      </c>
      <c r="H234" s="13">
        <v>29131</v>
      </c>
      <c r="J234" s="13">
        <v>272088</v>
      </c>
      <c r="K234" s="13">
        <v>8841</v>
      </c>
      <c r="L234" s="13">
        <v>9994</v>
      </c>
      <c r="M234" s="13">
        <v>43219</v>
      </c>
      <c r="N234" s="13">
        <v>103694</v>
      </c>
      <c r="O234" s="13">
        <v>33547</v>
      </c>
      <c r="Q234" s="3">
        <f t="shared" si="55"/>
        <v>22.631</v>
      </c>
      <c r="R234" s="3">
        <f t="shared" si="56"/>
        <v>2.6070000000000002</v>
      </c>
      <c r="S234" s="3">
        <f t="shared" si="57"/>
        <v>6.4969999999999999</v>
      </c>
      <c r="T234" s="3">
        <f t="shared" si="58"/>
        <v>-7.4260000000000002</v>
      </c>
      <c r="U234" s="3"/>
      <c r="V234" s="3">
        <f t="shared" si="59"/>
        <v>2.226</v>
      </c>
      <c r="W234" s="3">
        <f t="shared" si="60"/>
        <v>-4.4160000000000004</v>
      </c>
      <c r="Y234" s="3">
        <f t="shared" si="61"/>
        <v>24.308999999999997</v>
      </c>
      <c r="Z234" s="3">
        <f t="shared" si="62"/>
        <v>-2.1900000000000004</v>
      </c>
      <c r="AA234" s="3">
        <f t="shared" si="63"/>
        <v>22.118999999999996</v>
      </c>
      <c r="AB234" s="3"/>
      <c r="AC234" s="2" t="str">
        <f t="shared" si="64"/>
        <v>1995-06</v>
      </c>
      <c r="AD234" s="9">
        <f t="shared" si="65"/>
        <v>181.536</v>
      </c>
      <c r="AE234" s="9">
        <f t="shared" si="66"/>
        <v>-30.641999999999999</v>
      </c>
      <c r="AF234" s="9">
        <f t="shared" si="67"/>
        <v>150.89399999999998</v>
      </c>
      <c r="AG234" s="9"/>
      <c r="AH234" s="10">
        <v>34851</v>
      </c>
      <c r="AI234" s="9">
        <f t="shared" si="68"/>
        <v>140.51400000000001</v>
      </c>
      <c r="AJ234" s="9">
        <f t="shared" si="69"/>
        <v>22.658999999999999</v>
      </c>
      <c r="AK234" s="9">
        <f t="shared" si="70"/>
        <v>46.35</v>
      </c>
      <c r="AL234" s="9">
        <f t="shared" si="71"/>
        <v>-27.987000000000002</v>
      </c>
      <c r="AM234" s="12">
        <f t="shared" si="72"/>
        <v>10.379999999999967</v>
      </c>
    </row>
    <row r="235" spans="1:39" x14ac:dyDescent="0.25">
      <c r="A235">
        <v>99996</v>
      </c>
      <c r="B235" t="s">
        <v>222</v>
      </c>
      <c r="C235" s="13">
        <v>239382</v>
      </c>
      <c r="D235" s="13">
        <v>10970</v>
      </c>
      <c r="E235" s="13">
        <v>12941</v>
      </c>
      <c r="F235" s="13">
        <v>42444</v>
      </c>
      <c r="G235" s="13">
        <v>67194</v>
      </c>
      <c r="H235" s="13">
        <v>28586</v>
      </c>
      <c r="J235" s="13">
        <v>207511</v>
      </c>
      <c r="K235" s="13">
        <v>8253</v>
      </c>
      <c r="L235" s="13">
        <v>6696</v>
      </c>
      <c r="M235" s="13">
        <v>40009</v>
      </c>
      <c r="N235" s="13">
        <v>71343</v>
      </c>
      <c r="O235" s="13">
        <v>36775</v>
      </c>
      <c r="Q235" s="3">
        <f t="shared" si="55"/>
        <v>31.870999999999999</v>
      </c>
      <c r="R235" s="3">
        <f t="shared" si="56"/>
        <v>2.7170000000000001</v>
      </c>
      <c r="S235" s="3">
        <f t="shared" si="57"/>
        <v>6.2450000000000001</v>
      </c>
      <c r="T235" s="3">
        <f t="shared" si="58"/>
        <v>-4.149</v>
      </c>
      <c r="U235" s="3"/>
      <c r="V235" s="3">
        <f t="shared" si="59"/>
        <v>2.4350000000000001</v>
      </c>
      <c r="W235" s="3">
        <f t="shared" si="60"/>
        <v>-8.1890000000000001</v>
      </c>
      <c r="Y235" s="3">
        <f t="shared" si="61"/>
        <v>36.683999999999997</v>
      </c>
      <c r="Z235" s="3">
        <f t="shared" si="62"/>
        <v>-5.7539999999999996</v>
      </c>
      <c r="AA235" s="3">
        <f t="shared" si="63"/>
        <v>30.93</v>
      </c>
      <c r="AB235" s="3"/>
      <c r="AC235" s="2" t="str">
        <f t="shared" si="64"/>
        <v>1995-07</v>
      </c>
      <c r="AD235" s="9">
        <f t="shared" si="65"/>
        <v>215.00799999999998</v>
      </c>
      <c r="AE235" s="9">
        <f t="shared" si="66"/>
        <v>-32.426000000000002</v>
      </c>
      <c r="AF235" s="9">
        <f t="shared" si="67"/>
        <v>182.58199999999999</v>
      </c>
      <c r="AG235" s="9"/>
      <c r="AH235" s="10">
        <v>34881</v>
      </c>
      <c r="AI235" s="9">
        <f t="shared" si="68"/>
        <v>171.376</v>
      </c>
      <c r="AJ235" s="9">
        <f t="shared" si="69"/>
        <v>23.294999999999998</v>
      </c>
      <c r="AK235" s="9">
        <f t="shared" si="70"/>
        <v>49.695</v>
      </c>
      <c r="AL235" s="9">
        <f t="shared" si="71"/>
        <v>-29.358000000000004</v>
      </c>
      <c r="AM235" s="12">
        <f t="shared" si="72"/>
        <v>11.205999999999989</v>
      </c>
    </row>
    <row r="236" spans="1:39" x14ac:dyDescent="0.25">
      <c r="A236">
        <v>99996</v>
      </c>
      <c r="B236" t="s">
        <v>223</v>
      </c>
      <c r="C236" s="13">
        <v>274042</v>
      </c>
      <c r="D236" s="13">
        <v>11885</v>
      </c>
      <c r="E236" s="13">
        <v>12905</v>
      </c>
      <c r="F236" s="13">
        <v>41908</v>
      </c>
      <c r="G236" s="13">
        <v>71373</v>
      </c>
      <c r="H236" s="13">
        <v>30871</v>
      </c>
      <c r="J236" s="13">
        <v>247960</v>
      </c>
      <c r="K236" s="13">
        <v>7441</v>
      </c>
      <c r="L236" s="13">
        <v>9300</v>
      </c>
      <c r="M236" s="13">
        <v>39366</v>
      </c>
      <c r="N236" s="13">
        <v>75284</v>
      </c>
      <c r="O236" s="13">
        <v>36827</v>
      </c>
      <c r="Q236" s="3">
        <f t="shared" si="55"/>
        <v>26.082000000000001</v>
      </c>
      <c r="R236" s="3">
        <f t="shared" si="56"/>
        <v>4.444</v>
      </c>
      <c r="S236" s="3">
        <f t="shared" si="57"/>
        <v>3.605</v>
      </c>
      <c r="T236" s="3">
        <f t="shared" si="58"/>
        <v>-3.911</v>
      </c>
      <c r="U236" s="3"/>
      <c r="V236" s="3">
        <f t="shared" si="59"/>
        <v>2.5419999999999998</v>
      </c>
      <c r="W236" s="3">
        <f t="shared" si="60"/>
        <v>-5.9560000000000004</v>
      </c>
      <c r="Y236" s="3">
        <f t="shared" si="61"/>
        <v>30.22</v>
      </c>
      <c r="Z236" s="3">
        <f t="shared" si="62"/>
        <v>-3.4140000000000006</v>
      </c>
      <c r="AA236" s="3">
        <f t="shared" si="63"/>
        <v>26.806000000000001</v>
      </c>
      <c r="AB236" s="3"/>
      <c r="AC236" s="2" t="str">
        <f t="shared" si="64"/>
        <v>1995-08</v>
      </c>
      <c r="AD236" s="9">
        <f t="shared" si="65"/>
        <v>221.423</v>
      </c>
      <c r="AE236" s="9">
        <f t="shared" si="66"/>
        <v>-34.277999999999999</v>
      </c>
      <c r="AF236" s="9">
        <f t="shared" si="67"/>
        <v>187.14499999999998</v>
      </c>
      <c r="AG236" s="9"/>
      <c r="AH236" s="10">
        <v>34912</v>
      </c>
      <c r="AI236" s="9">
        <f t="shared" si="68"/>
        <v>181.42699999999999</v>
      </c>
      <c r="AJ236" s="9">
        <f t="shared" si="69"/>
        <v>25.098999999999997</v>
      </c>
      <c r="AK236" s="9">
        <f t="shared" si="70"/>
        <v>48.423999999999992</v>
      </c>
      <c r="AL236" s="9">
        <f t="shared" si="71"/>
        <v>-33.527000000000001</v>
      </c>
      <c r="AM236" s="12">
        <f t="shared" si="72"/>
        <v>5.7179999999999893</v>
      </c>
    </row>
    <row r="237" spans="1:39" x14ac:dyDescent="0.25">
      <c r="A237">
        <v>99996</v>
      </c>
      <c r="B237" t="s">
        <v>224</v>
      </c>
      <c r="C237" s="13">
        <v>235545</v>
      </c>
      <c r="D237" s="13">
        <v>12474</v>
      </c>
      <c r="E237" s="13">
        <v>15713</v>
      </c>
      <c r="F237" s="13">
        <v>44450</v>
      </c>
      <c r="G237" s="13">
        <v>81034</v>
      </c>
      <c r="H237" s="13">
        <v>28715</v>
      </c>
      <c r="J237" s="13">
        <v>246603</v>
      </c>
      <c r="K237" s="13">
        <v>7389</v>
      </c>
      <c r="L237" s="13">
        <v>10370</v>
      </c>
      <c r="M237" s="13">
        <v>44218</v>
      </c>
      <c r="N237" s="13">
        <v>86549</v>
      </c>
      <c r="O237" s="13">
        <v>36675</v>
      </c>
      <c r="Q237" s="3">
        <f t="shared" si="55"/>
        <v>-11.058</v>
      </c>
      <c r="R237" s="3">
        <f t="shared" si="56"/>
        <v>5.085</v>
      </c>
      <c r="S237" s="3">
        <f t="shared" si="57"/>
        <v>5.343</v>
      </c>
      <c r="T237" s="3">
        <f t="shared" si="58"/>
        <v>-5.5149999999999997</v>
      </c>
      <c r="U237" s="3"/>
      <c r="V237" s="3">
        <f t="shared" si="59"/>
        <v>0.23200000000000001</v>
      </c>
      <c r="W237" s="3">
        <f t="shared" si="60"/>
        <v>-7.96</v>
      </c>
      <c r="Y237" s="3">
        <f t="shared" si="61"/>
        <v>-6.1449999999999996</v>
      </c>
      <c r="Z237" s="3">
        <f t="shared" si="62"/>
        <v>-7.7279999999999998</v>
      </c>
      <c r="AA237" s="3">
        <f t="shared" si="63"/>
        <v>-13.872999999999999</v>
      </c>
      <c r="AB237" s="3"/>
      <c r="AC237" s="2" t="str">
        <f t="shared" si="64"/>
        <v>1995-09</v>
      </c>
      <c r="AD237" s="9">
        <f t="shared" si="65"/>
        <v>201.71199999999999</v>
      </c>
      <c r="AE237" s="9">
        <f t="shared" si="66"/>
        <v>-40.882000000000005</v>
      </c>
      <c r="AF237" s="9">
        <f t="shared" si="67"/>
        <v>160.83000000000001</v>
      </c>
      <c r="AG237" s="9"/>
      <c r="AH237" s="10">
        <v>34943</v>
      </c>
      <c r="AI237" s="9">
        <f t="shared" si="68"/>
        <v>158.42700000000002</v>
      </c>
      <c r="AJ237" s="9">
        <f t="shared" si="69"/>
        <v>30.981999999999996</v>
      </c>
      <c r="AK237" s="9">
        <f t="shared" si="70"/>
        <v>50.710999999999999</v>
      </c>
      <c r="AL237" s="9">
        <f t="shared" si="71"/>
        <v>-38.408000000000001</v>
      </c>
      <c r="AM237" s="12">
        <f t="shared" si="72"/>
        <v>2.4029999999999916</v>
      </c>
    </row>
    <row r="238" spans="1:39" x14ac:dyDescent="0.25">
      <c r="A238">
        <v>99996</v>
      </c>
      <c r="B238" t="s">
        <v>225</v>
      </c>
      <c r="C238" s="13">
        <v>255986</v>
      </c>
      <c r="D238" s="13">
        <v>10818</v>
      </c>
      <c r="E238" s="13">
        <v>15655</v>
      </c>
      <c r="F238" s="13">
        <v>41492</v>
      </c>
      <c r="G238" s="13">
        <v>76922</v>
      </c>
      <c r="H238" s="13">
        <v>29382</v>
      </c>
      <c r="J238" s="13">
        <v>251319</v>
      </c>
      <c r="K238" s="13">
        <v>9468</v>
      </c>
      <c r="L238" s="13">
        <v>9731</v>
      </c>
      <c r="M238" s="13">
        <v>42860</v>
      </c>
      <c r="N238" s="13">
        <v>84981</v>
      </c>
      <c r="O238" s="13">
        <v>34868</v>
      </c>
      <c r="Q238" s="3">
        <f t="shared" si="55"/>
        <v>4.6669999999999998</v>
      </c>
      <c r="R238" s="3">
        <f t="shared" si="56"/>
        <v>1.35</v>
      </c>
      <c r="S238" s="3">
        <f t="shared" si="57"/>
        <v>5.9240000000000004</v>
      </c>
      <c r="T238" s="3">
        <f t="shared" si="58"/>
        <v>-8.0589999999999993</v>
      </c>
      <c r="U238" s="3"/>
      <c r="V238" s="3">
        <f t="shared" si="59"/>
        <v>-1.3680000000000001</v>
      </c>
      <c r="W238" s="3">
        <f t="shared" si="60"/>
        <v>-5.4859999999999998</v>
      </c>
      <c r="Y238" s="3">
        <f t="shared" si="61"/>
        <v>3.8819999999999997</v>
      </c>
      <c r="Z238" s="3">
        <f t="shared" si="62"/>
        <v>-6.8540000000000001</v>
      </c>
      <c r="AA238" s="3">
        <f t="shared" si="63"/>
        <v>-2.9720000000000004</v>
      </c>
      <c r="AB238" s="3"/>
      <c r="AC238" s="2" t="str">
        <f t="shared" si="64"/>
        <v>1995-10</v>
      </c>
      <c r="AD238" s="9">
        <f t="shared" si="65"/>
        <v>197.41299999999998</v>
      </c>
      <c r="AE238" s="9">
        <f t="shared" si="66"/>
        <v>-41.268000000000001</v>
      </c>
      <c r="AF238" s="9">
        <f t="shared" si="67"/>
        <v>156.14500000000001</v>
      </c>
      <c r="AG238" s="9"/>
      <c r="AH238" s="10">
        <v>34973</v>
      </c>
      <c r="AI238" s="9">
        <f t="shared" si="68"/>
        <v>152.86700000000002</v>
      </c>
      <c r="AJ238" s="9">
        <f t="shared" si="69"/>
        <v>31.507999999999999</v>
      </c>
      <c r="AK238" s="9">
        <f t="shared" si="70"/>
        <v>54.166000000000004</v>
      </c>
      <c r="AL238" s="9">
        <f t="shared" si="71"/>
        <v>-41.128</v>
      </c>
      <c r="AM238" s="12">
        <f t="shared" si="72"/>
        <v>3.2779999999999916</v>
      </c>
    </row>
    <row r="239" spans="1:39" x14ac:dyDescent="0.25">
      <c r="A239">
        <v>99996</v>
      </c>
      <c r="B239" t="s">
        <v>226</v>
      </c>
      <c r="C239" s="13">
        <v>252151</v>
      </c>
      <c r="D239" s="13">
        <v>12130</v>
      </c>
      <c r="E239" s="13">
        <v>19512</v>
      </c>
      <c r="F239" s="13">
        <v>42003</v>
      </c>
      <c r="G239" s="13">
        <v>78661</v>
      </c>
      <c r="H239" s="13">
        <v>30317</v>
      </c>
      <c r="J239" s="13">
        <v>236692</v>
      </c>
      <c r="K239" s="13">
        <v>8140</v>
      </c>
      <c r="L239" s="13">
        <v>12601</v>
      </c>
      <c r="M239" s="13">
        <v>39071</v>
      </c>
      <c r="N239" s="13">
        <v>85152</v>
      </c>
      <c r="O239" s="13">
        <v>32035</v>
      </c>
      <c r="Q239" s="3">
        <f t="shared" si="55"/>
        <v>15.459</v>
      </c>
      <c r="R239" s="3">
        <f t="shared" si="56"/>
        <v>3.99</v>
      </c>
      <c r="S239" s="3">
        <f t="shared" si="57"/>
        <v>6.9109999999999996</v>
      </c>
      <c r="T239" s="3">
        <f t="shared" si="58"/>
        <v>-6.4909999999999997</v>
      </c>
      <c r="U239" s="3"/>
      <c r="V239" s="3">
        <f t="shared" si="59"/>
        <v>2.9319999999999999</v>
      </c>
      <c r="W239" s="3">
        <f t="shared" si="60"/>
        <v>-1.718</v>
      </c>
      <c r="Y239" s="3">
        <f t="shared" si="61"/>
        <v>19.869</v>
      </c>
      <c r="Z239" s="3">
        <f t="shared" si="62"/>
        <v>1.214</v>
      </c>
      <c r="AA239" s="3">
        <f t="shared" si="63"/>
        <v>21.082999999999998</v>
      </c>
      <c r="AB239" s="3"/>
      <c r="AC239" s="2" t="str">
        <f t="shared" si="64"/>
        <v>1995-11</v>
      </c>
      <c r="AD239" s="9">
        <f t="shared" si="65"/>
        <v>200.74699999999999</v>
      </c>
      <c r="AE239" s="9">
        <f t="shared" si="66"/>
        <v>-38.550000000000004</v>
      </c>
      <c r="AF239" s="9">
        <f t="shared" si="67"/>
        <v>162.197</v>
      </c>
      <c r="AG239" s="9"/>
      <c r="AH239" s="10">
        <v>35004</v>
      </c>
      <c r="AI239" s="9">
        <f t="shared" si="68"/>
        <v>155.21100000000001</v>
      </c>
      <c r="AJ239" s="9">
        <f t="shared" si="69"/>
        <v>32.512</v>
      </c>
      <c r="AK239" s="9">
        <f t="shared" si="70"/>
        <v>57.146999999999998</v>
      </c>
      <c r="AL239" s="9">
        <f t="shared" si="71"/>
        <v>-44.122999999999998</v>
      </c>
      <c r="AM239" s="12">
        <f t="shared" si="72"/>
        <v>6.98599999999999</v>
      </c>
    </row>
    <row r="240" spans="1:39" x14ac:dyDescent="0.25">
      <c r="A240">
        <v>99996</v>
      </c>
      <c r="B240" t="s">
        <v>227</v>
      </c>
      <c r="C240" s="13">
        <v>196701</v>
      </c>
      <c r="D240" s="13">
        <v>9401</v>
      </c>
      <c r="E240" s="13">
        <v>12619</v>
      </c>
      <c r="F240" s="13">
        <v>46479</v>
      </c>
      <c r="G240" s="13">
        <v>80367</v>
      </c>
      <c r="H240" s="13">
        <v>32369</v>
      </c>
      <c r="J240" s="13">
        <v>206045</v>
      </c>
      <c r="K240" s="13">
        <v>11144</v>
      </c>
      <c r="L240" s="13">
        <v>9973</v>
      </c>
      <c r="M240" s="13">
        <v>44372</v>
      </c>
      <c r="N240" s="13">
        <v>84339</v>
      </c>
      <c r="O240" s="13">
        <v>38971</v>
      </c>
      <c r="Q240" s="3">
        <f t="shared" si="55"/>
        <v>-9.3439999999999994</v>
      </c>
      <c r="R240" s="3">
        <f t="shared" si="56"/>
        <v>-1.7430000000000001</v>
      </c>
      <c r="S240" s="3">
        <f t="shared" si="57"/>
        <v>2.6459999999999999</v>
      </c>
      <c r="T240" s="3">
        <f t="shared" si="58"/>
        <v>-3.972</v>
      </c>
      <c r="U240" s="3"/>
      <c r="V240" s="3">
        <f t="shared" si="59"/>
        <v>2.1070000000000002</v>
      </c>
      <c r="W240" s="3">
        <f t="shared" si="60"/>
        <v>-6.6020000000000003</v>
      </c>
      <c r="Y240" s="3">
        <f t="shared" si="61"/>
        <v>-12.412999999999998</v>
      </c>
      <c r="Z240" s="3">
        <f t="shared" si="62"/>
        <v>-4.4950000000000001</v>
      </c>
      <c r="AA240" s="3">
        <f t="shared" si="63"/>
        <v>-16.907999999999998</v>
      </c>
      <c r="AB240" s="3"/>
      <c r="AC240" s="2" t="str">
        <f t="shared" si="64"/>
        <v>1995-12</v>
      </c>
      <c r="AD240" s="9">
        <f t="shared" si="65"/>
        <v>172.29199999999997</v>
      </c>
      <c r="AE240" s="9">
        <f t="shared" si="66"/>
        <v>-39.051000000000002</v>
      </c>
      <c r="AF240" s="9">
        <f t="shared" si="67"/>
        <v>133.24100000000001</v>
      </c>
      <c r="AG240" s="9"/>
      <c r="AH240" s="10">
        <v>35034</v>
      </c>
      <c r="AI240" s="9">
        <f t="shared" si="68"/>
        <v>134.11500000000001</v>
      </c>
      <c r="AJ240" s="9">
        <f t="shared" si="69"/>
        <v>28.729000000000003</v>
      </c>
      <c r="AK240" s="9">
        <f t="shared" si="70"/>
        <v>57.853000000000002</v>
      </c>
      <c r="AL240" s="9">
        <f t="shared" si="71"/>
        <v>-48.405000000000001</v>
      </c>
      <c r="AM240" s="12">
        <f t="shared" si="72"/>
        <v>-0.87399999999999523</v>
      </c>
    </row>
    <row r="241" spans="1:39" x14ac:dyDescent="0.25">
      <c r="A241">
        <v>99996</v>
      </c>
      <c r="B241" t="s">
        <v>228</v>
      </c>
      <c r="C241" s="13">
        <v>285332</v>
      </c>
      <c r="D241" s="13">
        <v>8884</v>
      </c>
      <c r="E241" s="13">
        <v>15618</v>
      </c>
      <c r="F241" s="13">
        <v>41977</v>
      </c>
      <c r="G241" s="13">
        <v>84605</v>
      </c>
      <c r="H241" s="13">
        <v>32994</v>
      </c>
      <c r="J241" s="13">
        <v>272160</v>
      </c>
      <c r="K241" s="13">
        <v>6251</v>
      </c>
      <c r="L241" s="13">
        <v>10848</v>
      </c>
      <c r="M241" s="13">
        <v>40167</v>
      </c>
      <c r="N241" s="13">
        <v>88952</v>
      </c>
      <c r="O241" s="13">
        <v>39487</v>
      </c>
      <c r="Q241" s="3">
        <f t="shared" si="55"/>
        <v>13.172000000000001</v>
      </c>
      <c r="R241" s="3">
        <f t="shared" si="56"/>
        <v>2.633</v>
      </c>
      <c r="S241" s="3">
        <f t="shared" si="57"/>
        <v>4.7699999999999996</v>
      </c>
      <c r="T241" s="3">
        <f t="shared" si="58"/>
        <v>-4.3470000000000004</v>
      </c>
      <c r="U241" s="3"/>
      <c r="V241" s="3">
        <f t="shared" si="59"/>
        <v>1.81</v>
      </c>
      <c r="W241" s="3">
        <f t="shared" si="60"/>
        <v>-6.4930000000000003</v>
      </c>
      <c r="Y241" s="3">
        <f t="shared" si="61"/>
        <v>16.227999999999998</v>
      </c>
      <c r="Z241" s="3">
        <f t="shared" si="62"/>
        <v>-4.6829999999999998</v>
      </c>
      <c r="AA241" s="3">
        <f t="shared" si="63"/>
        <v>11.544999999999996</v>
      </c>
      <c r="AB241" s="3"/>
      <c r="AC241" s="2" t="str">
        <f t="shared" si="64"/>
        <v>1996-01</v>
      </c>
      <c r="AD241" s="9">
        <f t="shared" si="65"/>
        <v>172.99899999999997</v>
      </c>
      <c r="AE241" s="9">
        <f t="shared" si="66"/>
        <v>-42.683</v>
      </c>
      <c r="AF241" s="9">
        <f t="shared" si="67"/>
        <v>130.316</v>
      </c>
      <c r="AG241" s="9"/>
      <c r="AH241" s="10">
        <v>35065</v>
      </c>
      <c r="AI241" s="9">
        <f t="shared" si="68"/>
        <v>137.709</v>
      </c>
      <c r="AJ241" s="9">
        <f t="shared" si="69"/>
        <v>29.365000000000002</v>
      </c>
      <c r="AK241" s="9">
        <f t="shared" si="70"/>
        <v>57.867000000000004</v>
      </c>
      <c r="AL241" s="9">
        <f t="shared" si="71"/>
        <v>-51.942</v>
      </c>
      <c r="AM241" s="12">
        <f t="shared" si="72"/>
        <v>-7.3930000000000007</v>
      </c>
    </row>
    <row r="242" spans="1:39" x14ac:dyDescent="0.25">
      <c r="A242">
        <v>99996</v>
      </c>
      <c r="B242" t="s">
        <v>229</v>
      </c>
      <c r="C242" s="13">
        <v>327247</v>
      </c>
      <c r="D242" s="13">
        <v>11912</v>
      </c>
      <c r="E242" s="13">
        <v>19332</v>
      </c>
      <c r="F242" s="13">
        <v>50372</v>
      </c>
      <c r="G242" s="13">
        <v>95095</v>
      </c>
      <c r="H242" s="13">
        <v>36948</v>
      </c>
      <c r="J242" s="13">
        <v>309267</v>
      </c>
      <c r="K242" s="13">
        <v>8233</v>
      </c>
      <c r="L242" s="13">
        <v>13478</v>
      </c>
      <c r="M242" s="13">
        <v>48907</v>
      </c>
      <c r="N242" s="13">
        <v>96373</v>
      </c>
      <c r="O242" s="13">
        <v>42654</v>
      </c>
      <c r="Q242" s="3">
        <f t="shared" si="55"/>
        <v>17.98</v>
      </c>
      <c r="R242" s="3">
        <f t="shared" si="56"/>
        <v>3.6789999999999998</v>
      </c>
      <c r="S242" s="3">
        <f t="shared" si="57"/>
        <v>5.8540000000000001</v>
      </c>
      <c r="T242" s="3">
        <f t="shared" si="58"/>
        <v>-1.278</v>
      </c>
      <c r="U242" s="3"/>
      <c r="V242" s="3">
        <f t="shared" si="59"/>
        <v>1.4650000000000001</v>
      </c>
      <c r="W242" s="3">
        <f t="shared" si="60"/>
        <v>-5.7060000000000004</v>
      </c>
      <c r="Y242" s="3">
        <f t="shared" si="61"/>
        <v>26.234999999999999</v>
      </c>
      <c r="Z242" s="3">
        <f t="shared" si="62"/>
        <v>-4.2410000000000005</v>
      </c>
      <c r="AA242" s="3">
        <f t="shared" si="63"/>
        <v>21.994</v>
      </c>
      <c r="AB242" s="3"/>
      <c r="AC242" s="2" t="str">
        <f t="shared" si="64"/>
        <v>1996-02</v>
      </c>
      <c r="AD242" s="9">
        <f t="shared" si="65"/>
        <v>180.52600000000001</v>
      </c>
      <c r="AE242" s="9">
        <f t="shared" si="66"/>
        <v>-45.589999999999996</v>
      </c>
      <c r="AF242" s="9">
        <f t="shared" si="67"/>
        <v>134.93599999999998</v>
      </c>
      <c r="AG242" s="9"/>
      <c r="AH242" s="10">
        <v>35096</v>
      </c>
      <c r="AI242" s="9">
        <f t="shared" si="68"/>
        <v>141.58600000000001</v>
      </c>
      <c r="AJ242" s="9">
        <f t="shared" si="69"/>
        <v>31.101000000000003</v>
      </c>
      <c r="AK242" s="9">
        <f t="shared" si="70"/>
        <v>59.209000000000003</v>
      </c>
      <c r="AL242" s="9">
        <f t="shared" si="71"/>
        <v>-51.370000000000005</v>
      </c>
      <c r="AM242" s="12">
        <f t="shared" si="72"/>
        <v>-6.6500000000000341</v>
      </c>
    </row>
    <row r="243" spans="1:39" x14ac:dyDescent="0.25">
      <c r="A243">
        <v>99996</v>
      </c>
      <c r="B243" t="s">
        <v>230</v>
      </c>
      <c r="C243" s="13">
        <v>260703</v>
      </c>
      <c r="D243" s="13">
        <v>8163</v>
      </c>
      <c r="E243" s="13">
        <v>22372</v>
      </c>
      <c r="F243" s="13">
        <v>51940</v>
      </c>
      <c r="G243" s="13">
        <v>93057</v>
      </c>
      <c r="H243" s="13">
        <v>35684</v>
      </c>
      <c r="J243" s="13">
        <v>249062</v>
      </c>
      <c r="K243" s="13">
        <v>7889</v>
      </c>
      <c r="L243" s="13">
        <v>13959</v>
      </c>
      <c r="M243" s="13">
        <v>51178</v>
      </c>
      <c r="N243" s="13">
        <v>99091</v>
      </c>
      <c r="O243" s="13">
        <v>45948</v>
      </c>
      <c r="Q243" s="3">
        <f t="shared" si="55"/>
        <v>11.641</v>
      </c>
      <c r="R243" s="3">
        <f t="shared" si="56"/>
        <v>0.27400000000000002</v>
      </c>
      <c r="S243" s="3">
        <f t="shared" si="57"/>
        <v>8.4130000000000003</v>
      </c>
      <c r="T243" s="3">
        <f t="shared" si="58"/>
        <v>-6.0339999999999998</v>
      </c>
      <c r="U243" s="3"/>
      <c r="V243" s="3">
        <f t="shared" si="59"/>
        <v>0.76200000000000001</v>
      </c>
      <c r="W243" s="3">
        <f t="shared" si="60"/>
        <v>-10.263999999999999</v>
      </c>
      <c r="Y243" s="3">
        <f t="shared" si="61"/>
        <v>14.294</v>
      </c>
      <c r="Z243" s="3">
        <f t="shared" si="62"/>
        <v>-9.5019999999999989</v>
      </c>
      <c r="AA243" s="3">
        <f t="shared" si="63"/>
        <v>4.7920000000000016</v>
      </c>
      <c r="AB243" s="3"/>
      <c r="AC243" s="2" t="str">
        <f t="shared" si="64"/>
        <v>1996-03</v>
      </c>
      <c r="AD243" s="9">
        <f t="shared" si="65"/>
        <v>179.00200000000004</v>
      </c>
      <c r="AE243" s="9">
        <f t="shared" si="66"/>
        <v>-49.912999999999997</v>
      </c>
      <c r="AF243" s="9">
        <f t="shared" si="67"/>
        <v>129.089</v>
      </c>
      <c r="AG243" s="9"/>
      <c r="AH243" s="10">
        <v>35125</v>
      </c>
      <c r="AI243" s="9">
        <f t="shared" si="68"/>
        <v>144.01599999999999</v>
      </c>
      <c r="AJ243" s="9">
        <f t="shared" si="69"/>
        <v>28.806000000000001</v>
      </c>
      <c r="AK243" s="9">
        <f t="shared" si="70"/>
        <v>62.688999999999993</v>
      </c>
      <c r="AL243" s="9">
        <f t="shared" si="71"/>
        <v>-56.509</v>
      </c>
      <c r="AM243" s="12">
        <f t="shared" si="72"/>
        <v>-14.926999999999992</v>
      </c>
    </row>
    <row r="244" spans="1:39" x14ac:dyDescent="0.25">
      <c r="A244">
        <v>99996</v>
      </c>
      <c r="B244" t="s">
        <v>231</v>
      </c>
      <c r="C244" s="13">
        <v>219052</v>
      </c>
      <c r="D244" s="13">
        <v>7157</v>
      </c>
      <c r="E244" s="13">
        <v>15597</v>
      </c>
      <c r="F244" s="13">
        <v>50585</v>
      </c>
      <c r="G244" s="13">
        <v>81138</v>
      </c>
      <c r="H244" s="13">
        <v>37254</v>
      </c>
      <c r="J244" s="13">
        <v>207666</v>
      </c>
      <c r="K244" s="13">
        <v>6088</v>
      </c>
      <c r="L244" s="13">
        <v>10290</v>
      </c>
      <c r="M244" s="13">
        <v>46687</v>
      </c>
      <c r="N244" s="13">
        <v>81697</v>
      </c>
      <c r="O244" s="13">
        <v>44009</v>
      </c>
      <c r="Q244" s="3">
        <f t="shared" si="55"/>
        <v>11.385999999999999</v>
      </c>
      <c r="R244" s="3">
        <f t="shared" si="56"/>
        <v>1.069</v>
      </c>
      <c r="S244" s="3">
        <f t="shared" si="57"/>
        <v>5.3070000000000004</v>
      </c>
      <c r="T244" s="3">
        <f t="shared" si="58"/>
        <v>-0.55900000000000005</v>
      </c>
      <c r="U244" s="3"/>
      <c r="V244" s="3">
        <f t="shared" si="59"/>
        <v>3.8980000000000001</v>
      </c>
      <c r="W244" s="3">
        <f t="shared" si="60"/>
        <v>-6.7549999999999999</v>
      </c>
      <c r="Y244" s="3">
        <f t="shared" si="61"/>
        <v>17.202999999999999</v>
      </c>
      <c r="Z244" s="3">
        <f t="shared" si="62"/>
        <v>-2.8569999999999998</v>
      </c>
      <c r="AA244" s="3">
        <f t="shared" si="63"/>
        <v>14.346</v>
      </c>
      <c r="AB244" s="3"/>
      <c r="AC244" s="2" t="str">
        <f t="shared" si="64"/>
        <v>1996-04</v>
      </c>
      <c r="AD244" s="9">
        <f t="shared" si="65"/>
        <v>186.57600000000002</v>
      </c>
      <c r="AE244" s="9">
        <f t="shared" si="66"/>
        <v>-51.5</v>
      </c>
      <c r="AF244" s="9">
        <f t="shared" si="67"/>
        <v>135.07599999999999</v>
      </c>
      <c r="AG244" s="9"/>
      <c r="AH244" s="10">
        <v>35156</v>
      </c>
      <c r="AI244" s="9">
        <f t="shared" si="68"/>
        <v>149.00200000000001</v>
      </c>
      <c r="AJ244" s="9">
        <f t="shared" si="69"/>
        <v>27.789000000000001</v>
      </c>
      <c r="AK244" s="9">
        <f t="shared" si="70"/>
        <v>66.03</v>
      </c>
      <c r="AL244" s="9">
        <f t="shared" si="71"/>
        <v>-56.244999999999997</v>
      </c>
      <c r="AM244" s="12">
        <f t="shared" si="72"/>
        <v>-13.926000000000016</v>
      </c>
    </row>
    <row r="245" spans="1:39" x14ac:dyDescent="0.25">
      <c r="A245">
        <v>99996</v>
      </c>
      <c r="B245" t="s">
        <v>232</v>
      </c>
      <c r="C245" s="13">
        <v>269234</v>
      </c>
      <c r="D245" s="13">
        <v>11911</v>
      </c>
      <c r="E245" s="13">
        <v>21796</v>
      </c>
      <c r="F245" s="13">
        <v>54304</v>
      </c>
      <c r="G245" s="13">
        <v>82224</v>
      </c>
      <c r="H245" s="13">
        <v>42834</v>
      </c>
      <c r="J245" s="13">
        <v>255135</v>
      </c>
      <c r="K245" s="13">
        <v>8600</v>
      </c>
      <c r="L245" s="13">
        <v>13682</v>
      </c>
      <c r="M245" s="13">
        <v>52888</v>
      </c>
      <c r="N245" s="13">
        <v>83057</v>
      </c>
      <c r="O245" s="13">
        <v>46056</v>
      </c>
      <c r="Q245" s="3">
        <f t="shared" si="55"/>
        <v>14.099</v>
      </c>
      <c r="R245" s="3">
        <f t="shared" si="56"/>
        <v>3.3109999999999999</v>
      </c>
      <c r="S245" s="3">
        <f t="shared" si="57"/>
        <v>8.1140000000000008</v>
      </c>
      <c r="T245" s="3">
        <f t="shared" si="58"/>
        <v>-0.83299999999999996</v>
      </c>
      <c r="U245" s="3"/>
      <c r="V245" s="3">
        <f t="shared" si="59"/>
        <v>1.4159999999999999</v>
      </c>
      <c r="W245" s="3">
        <f t="shared" si="60"/>
        <v>-3.222</v>
      </c>
      <c r="Y245" s="3">
        <f t="shared" si="61"/>
        <v>24.691000000000003</v>
      </c>
      <c r="Z245" s="3">
        <f t="shared" si="62"/>
        <v>-1.806</v>
      </c>
      <c r="AA245" s="3">
        <f t="shared" si="63"/>
        <v>22.885000000000002</v>
      </c>
      <c r="AB245" s="3"/>
      <c r="AC245" s="2" t="str">
        <f t="shared" si="64"/>
        <v>1996-05</v>
      </c>
      <c r="AD245" s="9">
        <f t="shared" si="65"/>
        <v>195.05700000000002</v>
      </c>
      <c r="AE245" s="9">
        <f t="shared" si="66"/>
        <v>-52.309999999999988</v>
      </c>
      <c r="AF245" s="9">
        <f t="shared" si="67"/>
        <v>142.74699999999999</v>
      </c>
      <c r="AG245" s="9"/>
      <c r="AH245" s="10">
        <v>35186</v>
      </c>
      <c r="AI245" s="9">
        <f t="shared" si="68"/>
        <v>148.58600000000001</v>
      </c>
      <c r="AJ245" s="9">
        <f t="shared" si="69"/>
        <v>29.416000000000004</v>
      </c>
      <c r="AK245" s="9">
        <f t="shared" si="70"/>
        <v>69.629000000000005</v>
      </c>
      <c r="AL245" s="9">
        <f t="shared" si="71"/>
        <v>-52.573999999999991</v>
      </c>
      <c r="AM245" s="12">
        <f t="shared" si="72"/>
        <v>-5.8390000000000271</v>
      </c>
    </row>
    <row r="246" spans="1:39" x14ac:dyDescent="0.25">
      <c r="A246">
        <v>99996</v>
      </c>
      <c r="B246" t="s">
        <v>233</v>
      </c>
      <c r="C246" s="13">
        <v>223775</v>
      </c>
      <c r="D246" s="13">
        <v>12186</v>
      </c>
      <c r="E246" s="13">
        <v>21441</v>
      </c>
      <c r="F246" s="13">
        <v>40993</v>
      </c>
      <c r="G246" s="13">
        <v>82586</v>
      </c>
      <c r="H246" s="13">
        <v>36254</v>
      </c>
      <c r="J246" s="13">
        <v>215205</v>
      </c>
      <c r="K246" s="13">
        <v>7938</v>
      </c>
      <c r="L246" s="13">
        <v>15851</v>
      </c>
      <c r="M246" s="13">
        <v>39695</v>
      </c>
      <c r="N246" s="13">
        <v>85571</v>
      </c>
      <c r="O246" s="13">
        <v>44619</v>
      </c>
      <c r="Q246" s="3">
        <f t="shared" si="55"/>
        <v>8.57</v>
      </c>
      <c r="R246" s="3">
        <f t="shared" si="56"/>
        <v>4.2480000000000002</v>
      </c>
      <c r="S246" s="3">
        <f t="shared" si="57"/>
        <v>5.59</v>
      </c>
      <c r="T246" s="3">
        <f t="shared" si="58"/>
        <v>-2.9849999999999999</v>
      </c>
      <c r="U246" s="3"/>
      <c r="V246" s="3">
        <f t="shared" si="59"/>
        <v>1.298</v>
      </c>
      <c r="W246" s="3">
        <f t="shared" si="60"/>
        <v>-8.3650000000000002</v>
      </c>
      <c r="Y246" s="3">
        <f t="shared" si="61"/>
        <v>15.423000000000002</v>
      </c>
      <c r="Z246" s="3">
        <f t="shared" si="62"/>
        <v>-7.0670000000000002</v>
      </c>
      <c r="AA246" s="3">
        <f t="shared" si="63"/>
        <v>8.3560000000000034</v>
      </c>
      <c r="AB246" s="3"/>
      <c r="AC246" s="2" t="str">
        <f t="shared" si="64"/>
        <v>1996-06</v>
      </c>
      <c r="AD246" s="9">
        <f t="shared" si="65"/>
        <v>186.17100000000002</v>
      </c>
      <c r="AE246" s="9">
        <f t="shared" si="66"/>
        <v>-57.187000000000005</v>
      </c>
      <c r="AF246" s="9">
        <f t="shared" si="67"/>
        <v>128.98400000000001</v>
      </c>
      <c r="AG246" s="9"/>
      <c r="AH246" s="10">
        <v>35217</v>
      </c>
      <c r="AI246" s="9">
        <f t="shared" si="68"/>
        <v>134.52500000000001</v>
      </c>
      <c r="AJ246" s="9">
        <f t="shared" si="69"/>
        <v>31.056999999999999</v>
      </c>
      <c r="AK246" s="9">
        <f t="shared" si="70"/>
        <v>68.722000000000008</v>
      </c>
      <c r="AL246" s="9">
        <f t="shared" si="71"/>
        <v>-48.132999999999996</v>
      </c>
      <c r="AM246" s="12">
        <f t="shared" si="72"/>
        <v>-5.5409999999999968</v>
      </c>
    </row>
    <row r="247" spans="1:39" x14ac:dyDescent="0.25">
      <c r="A247">
        <v>99996</v>
      </c>
      <c r="B247" t="s">
        <v>234</v>
      </c>
      <c r="C247" s="13">
        <v>329200</v>
      </c>
      <c r="D247" s="13">
        <v>9054</v>
      </c>
      <c r="E247" s="13">
        <v>16883</v>
      </c>
      <c r="F247" s="13">
        <v>47225</v>
      </c>
      <c r="G247" s="13">
        <v>80566</v>
      </c>
      <c r="H247" s="13">
        <v>37169</v>
      </c>
      <c r="J247" s="13">
        <v>283809</v>
      </c>
      <c r="K247" s="13">
        <v>4736</v>
      </c>
      <c r="L247" s="13">
        <v>10761</v>
      </c>
      <c r="M247" s="13">
        <v>50971</v>
      </c>
      <c r="N247" s="13">
        <v>84720</v>
      </c>
      <c r="O247" s="13">
        <v>41845</v>
      </c>
      <c r="Q247" s="3">
        <f t="shared" si="55"/>
        <v>45.390999999999998</v>
      </c>
      <c r="R247" s="3">
        <f t="shared" si="56"/>
        <v>4.3179999999999996</v>
      </c>
      <c r="S247" s="3">
        <f t="shared" si="57"/>
        <v>6.1219999999999999</v>
      </c>
      <c r="T247" s="3">
        <f t="shared" si="58"/>
        <v>-4.1539999999999999</v>
      </c>
      <c r="U247" s="3"/>
      <c r="V247" s="3">
        <f t="shared" si="59"/>
        <v>-3.746</v>
      </c>
      <c r="W247" s="3">
        <f t="shared" si="60"/>
        <v>-4.6760000000000002</v>
      </c>
      <c r="Y247" s="3">
        <f t="shared" si="61"/>
        <v>51.676999999999992</v>
      </c>
      <c r="Z247" s="3">
        <f t="shared" si="62"/>
        <v>-8.4220000000000006</v>
      </c>
      <c r="AA247" s="3">
        <f t="shared" si="63"/>
        <v>43.254999999999988</v>
      </c>
      <c r="AB247" s="3"/>
      <c r="AC247" s="2" t="str">
        <f t="shared" si="64"/>
        <v>1996-07</v>
      </c>
      <c r="AD247" s="9">
        <f t="shared" si="65"/>
        <v>201.16400000000002</v>
      </c>
      <c r="AE247" s="9">
        <f t="shared" si="66"/>
        <v>-59.855000000000004</v>
      </c>
      <c r="AF247" s="9">
        <f t="shared" si="67"/>
        <v>141.309</v>
      </c>
      <c r="AG247" s="9"/>
      <c r="AH247" s="10">
        <v>35247</v>
      </c>
      <c r="AI247" s="9">
        <f t="shared" si="68"/>
        <v>148.04500000000002</v>
      </c>
      <c r="AJ247" s="9">
        <f t="shared" si="69"/>
        <v>32.658000000000001</v>
      </c>
      <c r="AK247" s="9">
        <f t="shared" si="70"/>
        <v>68.599000000000018</v>
      </c>
      <c r="AL247" s="9">
        <f t="shared" si="71"/>
        <v>-48.137999999999991</v>
      </c>
      <c r="AM247" s="12">
        <f t="shared" si="72"/>
        <v>-6.7360000000000184</v>
      </c>
    </row>
    <row r="248" spans="1:39" x14ac:dyDescent="0.25">
      <c r="A248">
        <v>99996</v>
      </c>
      <c r="B248" t="s">
        <v>235</v>
      </c>
      <c r="C248" s="13">
        <v>265554</v>
      </c>
      <c r="D248" s="13">
        <v>11671</v>
      </c>
      <c r="E248" s="13">
        <v>19690</v>
      </c>
      <c r="F248" s="13">
        <v>42886</v>
      </c>
      <c r="G248" s="13">
        <v>84114</v>
      </c>
      <c r="H248" s="13">
        <v>33434</v>
      </c>
      <c r="J248" s="13">
        <v>254578</v>
      </c>
      <c r="K248" s="13">
        <v>7172</v>
      </c>
      <c r="L248" s="13">
        <v>11400</v>
      </c>
      <c r="M248" s="13">
        <v>40937</v>
      </c>
      <c r="N248" s="13">
        <v>89563</v>
      </c>
      <c r="O248" s="13">
        <v>34961</v>
      </c>
      <c r="Q248" s="3">
        <f t="shared" si="55"/>
        <v>10.976000000000001</v>
      </c>
      <c r="R248" s="3">
        <f t="shared" si="56"/>
        <v>4.4989999999999997</v>
      </c>
      <c r="S248" s="3">
        <f t="shared" si="57"/>
        <v>8.2899999999999991</v>
      </c>
      <c r="T248" s="3">
        <f t="shared" si="58"/>
        <v>-5.4489999999999998</v>
      </c>
      <c r="U248" s="3"/>
      <c r="V248" s="3">
        <f t="shared" si="59"/>
        <v>1.9490000000000001</v>
      </c>
      <c r="W248" s="3">
        <f t="shared" si="60"/>
        <v>-1.5269999999999999</v>
      </c>
      <c r="Y248" s="3">
        <f t="shared" si="61"/>
        <v>18.316000000000003</v>
      </c>
      <c r="Z248" s="3">
        <f t="shared" si="62"/>
        <v>0.42200000000000015</v>
      </c>
      <c r="AA248" s="3">
        <f t="shared" si="63"/>
        <v>18.738000000000003</v>
      </c>
      <c r="AB248" s="3"/>
      <c r="AC248" s="2" t="str">
        <f t="shared" si="64"/>
        <v>1996-08</v>
      </c>
      <c r="AD248" s="9">
        <f t="shared" si="65"/>
        <v>189.26000000000002</v>
      </c>
      <c r="AE248" s="9">
        <f t="shared" si="66"/>
        <v>-56.019000000000005</v>
      </c>
      <c r="AF248" s="9">
        <f t="shared" si="67"/>
        <v>133.24100000000001</v>
      </c>
      <c r="AG248" s="9"/>
      <c r="AH248" s="10">
        <v>35278</v>
      </c>
      <c r="AI248" s="9">
        <f t="shared" si="68"/>
        <v>132.93899999999999</v>
      </c>
      <c r="AJ248" s="9">
        <f t="shared" si="69"/>
        <v>32.713000000000001</v>
      </c>
      <c r="AK248" s="9">
        <f t="shared" si="70"/>
        <v>73.283999999999992</v>
      </c>
      <c r="AL248" s="9">
        <f t="shared" si="71"/>
        <v>-49.675999999999988</v>
      </c>
      <c r="AM248" s="12">
        <f t="shared" si="72"/>
        <v>0.30200000000002092</v>
      </c>
    </row>
    <row r="249" spans="1:39" x14ac:dyDescent="0.25">
      <c r="A249">
        <v>99996</v>
      </c>
      <c r="B249" t="s">
        <v>236</v>
      </c>
      <c r="C249" s="13">
        <v>365691</v>
      </c>
      <c r="D249" s="13">
        <v>11320</v>
      </c>
      <c r="E249" s="13">
        <v>24621</v>
      </c>
      <c r="F249" s="13">
        <v>39634</v>
      </c>
      <c r="G249" s="13">
        <v>112406</v>
      </c>
      <c r="H249" s="13">
        <v>30837</v>
      </c>
      <c r="J249" s="13">
        <v>352261</v>
      </c>
      <c r="K249" s="13">
        <v>7203</v>
      </c>
      <c r="L249" s="13">
        <v>15007</v>
      </c>
      <c r="M249" s="13">
        <v>39731</v>
      </c>
      <c r="N249" s="13">
        <v>117845</v>
      </c>
      <c r="O249" s="13">
        <v>32646</v>
      </c>
      <c r="Q249" s="3">
        <f t="shared" si="55"/>
        <v>13.43</v>
      </c>
      <c r="R249" s="3">
        <f t="shared" si="56"/>
        <v>4.117</v>
      </c>
      <c r="S249" s="3">
        <f t="shared" si="57"/>
        <v>9.6140000000000008</v>
      </c>
      <c r="T249" s="3">
        <f t="shared" si="58"/>
        <v>-5.4390000000000001</v>
      </c>
      <c r="U249" s="3"/>
      <c r="V249" s="3">
        <f t="shared" si="59"/>
        <v>-9.7000000000000003E-2</v>
      </c>
      <c r="W249" s="3">
        <f t="shared" si="60"/>
        <v>-1.8089999999999999</v>
      </c>
      <c r="Y249" s="3">
        <f t="shared" si="61"/>
        <v>21.722000000000001</v>
      </c>
      <c r="Z249" s="3">
        <f t="shared" si="62"/>
        <v>-1.9059999999999999</v>
      </c>
      <c r="AA249" s="3">
        <f t="shared" si="63"/>
        <v>19.815999999999999</v>
      </c>
      <c r="AB249" s="3"/>
      <c r="AC249" s="2" t="str">
        <f t="shared" si="64"/>
        <v>1996-09</v>
      </c>
      <c r="AD249" s="9">
        <f t="shared" si="65"/>
        <v>217.12700000000001</v>
      </c>
      <c r="AE249" s="9">
        <f t="shared" si="66"/>
        <v>-50.196999999999996</v>
      </c>
      <c r="AF249" s="9">
        <f t="shared" si="67"/>
        <v>166.93</v>
      </c>
      <c r="AG249" s="9"/>
      <c r="AH249" s="10">
        <v>35309</v>
      </c>
      <c r="AI249" s="9">
        <f t="shared" si="68"/>
        <v>157.42699999999999</v>
      </c>
      <c r="AJ249" s="9">
        <f t="shared" si="69"/>
        <v>31.744999999999997</v>
      </c>
      <c r="AK249" s="9">
        <f t="shared" si="70"/>
        <v>77.555000000000007</v>
      </c>
      <c r="AL249" s="9">
        <f t="shared" si="71"/>
        <v>-49.6</v>
      </c>
      <c r="AM249" s="12">
        <f t="shared" si="72"/>
        <v>9.5030000000000143</v>
      </c>
    </row>
    <row r="250" spans="1:39" x14ac:dyDescent="0.25">
      <c r="A250">
        <v>99996</v>
      </c>
      <c r="B250" t="s">
        <v>237</v>
      </c>
      <c r="C250" s="13">
        <v>396819</v>
      </c>
      <c r="D250" s="13">
        <v>14221</v>
      </c>
      <c r="E250" s="13">
        <v>24915</v>
      </c>
      <c r="F250" s="13">
        <v>54427</v>
      </c>
      <c r="G250" s="13">
        <v>116431</v>
      </c>
      <c r="H250" s="13">
        <v>39643</v>
      </c>
      <c r="J250" s="13">
        <v>372698</v>
      </c>
      <c r="K250" s="13">
        <v>10303</v>
      </c>
      <c r="L250" s="13">
        <v>17509</v>
      </c>
      <c r="M250" s="13">
        <v>53633</v>
      </c>
      <c r="N250" s="13">
        <v>122436</v>
      </c>
      <c r="O250" s="13">
        <v>42143</v>
      </c>
      <c r="Q250" s="3">
        <f t="shared" si="55"/>
        <v>24.120999999999999</v>
      </c>
      <c r="R250" s="3">
        <f t="shared" si="56"/>
        <v>3.9180000000000001</v>
      </c>
      <c r="S250" s="3">
        <f t="shared" si="57"/>
        <v>7.4059999999999997</v>
      </c>
      <c r="T250" s="3">
        <f t="shared" si="58"/>
        <v>-6.0049999999999999</v>
      </c>
      <c r="U250" s="3"/>
      <c r="V250" s="3">
        <f t="shared" si="59"/>
        <v>0.79400000000000004</v>
      </c>
      <c r="W250" s="3">
        <f t="shared" si="60"/>
        <v>-2.5</v>
      </c>
      <c r="Y250" s="3">
        <f t="shared" si="61"/>
        <v>29.44</v>
      </c>
      <c r="Z250" s="3">
        <f t="shared" si="62"/>
        <v>-1.706</v>
      </c>
      <c r="AA250" s="3">
        <f t="shared" si="63"/>
        <v>27.734000000000002</v>
      </c>
      <c r="AB250" s="3"/>
      <c r="AC250" s="2" t="str">
        <f t="shared" si="64"/>
        <v>1996-10</v>
      </c>
      <c r="AD250" s="9">
        <f t="shared" si="65"/>
        <v>242.685</v>
      </c>
      <c r="AE250" s="9">
        <f t="shared" si="66"/>
        <v>-45.048999999999999</v>
      </c>
      <c r="AF250" s="9">
        <f t="shared" si="67"/>
        <v>197.63600000000002</v>
      </c>
      <c r="AG250" s="9"/>
      <c r="AH250" s="10">
        <v>35339</v>
      </c>
      <c r="AI250" s="9">
        <f t="shared" si="68"/>
        <v>176.881</v>
      </c>
      <c r="AJ250" s="9">
        <f t="shared" si="69"/>
        <v>34.312999999999995</v>
      </c>
      <c r="AK250" s="9">
        <f t="shared" si="70"/>
        <v>79.037000000000006</v>
      </c>
      <c r="AL250" s="9">
        <f t="shared" si="71"/>
        <v>-47.545999999999999</v>
      </c>
      <c r="AM250" s="12">
        <f t="shared" si="72"/>
        <v>20.755000000000024</v>
      </c>
    </row>
    <row r="251" spans="1:39" x14ac:dyDescent="0.25">
      <c r="A251">
        <v>99996</v>
      </c>
      <c r="B251" t="s">
        <v>238</v>
      </c>
      <c r="C251" s="13">
        <v>361830</v>
      </c>
      <c r="D251" s="13">
        <v>18959</v>
      </c>
      <c r="E251" s="13">
        <v>25703</v>
      </c>
      <c r="F251" s="13">
        <v>62341</v>
      </c>
      <c r="G251" s="13">
        <v>103522</v>
      </c>
      <c r="H251" s="13">
        <v>46049</v>
      </c>
      <c r="J251" s="13">
        <v>344627</v>
      </c>
      <c r="K251" s="13">
        <v>12366</v>
      </c>
      <c r="L251" s="13">
        <v>19055</v>
      </c>
      <c r="M251" s="13">
        <v>59970</v>
      </c>
      <c r="N251" s="13">
        <v>106675</v>
      </c>
      <c r="O251" s="13">
        <v>48307</v>
      </c>
      <c r="Q251" s="3">
        <f t="shared" si="55"/>
        <v>17.202999999999999</v>
      </c>
      <c r="R251" s="3">
        <f t="shared" si="56"/>
        <v>6.593</v>
      </c>
      <c r="S251" s="3">
        <f t="shared" si="57"/>
        <v>6.6479999999999997</v>
      </c>
      <c r="T251" s="3">
        <f t="shared" si="58"/>
        <v>-3.153</v>
      </c>
      <c r="U251" s="3"/>
      <c r="V251" s="3">
        <f t="shared" si="59"/>
        <v>2.371</v>
      </c>
      <c r="W251" s="3">
        <f t="shared" si="60"/>
        <v>-2.258</v>
      </c>
      <c r="Y251" s="3">
        <f t="shared" si="61"/>
        <v>27.291</v>
      </c>
      <c r="Z251" s="3">
        <f t="shared" si="62"/>
        <v>0.11299999999999999</v>
      </c>
      <c r="AA251" s="3">
        <f t="shared" si="63"/>
        <v>27.404</v>
      </c>
      <c r="AB251" s="3"/>
      <c r="AC251" s="2" t="str">
        <f t="shared" si="64"/>
        <v>1996-11</v>
      </c>
      <c r="AD251" s="9">
        <f t="shared" si="65"/>
        <v>250.107</v>
      </c>
      <c r="AE251" s="9">
        <f t="shared" si="66"/>
        <v>-46.15</v>
      </c>
      <c r="AF251" s="9">
        <f t="shared" si="67"/>
        <v>203.95700000000002</v>
      </c>
      <c r="AG251" s="9"/>
      <c r="AH251" s="10">
        <v>35370</v>
      </c>
      <c r="AI251" s="9">
        <f t="shared" si="68"/>
        <v>178.625</v>
      </c>
      <c r="AJ251" s="9">
        <f t="shared" si="69"/>
        <v>36.915999999999997</v>
      </c>
      <c r="AK251" s="9">
        <f t="shared" si="70"/>
        <v>78.774000000000001</v>
      </c>
      <c r="AL251" s="9">
        <f t="shared" si="71"/>
        <v>-44.207999999999998</v>
      </c>
      <c r="AM251" s="12">
        <f t="shared" si="72"/>
        <v>25.332000000000022</v>
      </c>
    </row>
    <row r="252" spans="1:39" x14ac:dyDescent="0.25">
      <c r="A252">
        <v>99996</v>
      </c>
      <c r="B252" t="s">
        <v>239</v>
      </c>
      <c r="C252" s="13">
        <v>378503</v>
      </c>
      <c r="D252" s="13">
        <v>15683</v>
      </c>
      <c r="E252" s="13">
        <v>24864</v>
      </c>
      <c r="F252" s="13">
        <v>54030</v>
      </c>
      <c r="G252" s="13">
        <v>98291</v>
      </c>
      <c r="H252" s="13">
        <v>41265</v>
      </c>
      <c r="J252" s="13">
        <v>334231</v>
      </c>
      <c r="K252" s="13">
        <v>12619</v>
      </c>
      <c r="L252" s="13">
        <v>17249</v>
      </c>
      <c r="M252" s="13">
        <v>53439</v>
      </c>
      <c r="N252" s="13">
        <v>109424</v>
      </c>
      <c r="O252" s="13">
        <v>46958</v>
      </c>
      <c r="Q252" s="3">
        <f t="shared" si="55"/>
        <v>44.271999999999998</v>
      </c>
      <c r="R252" s="3">
        <f t="shared" si="56"/>
        <v>3.0640000000000001</v>
      </c>
      <c r="S252" s="3">
        <f t="shared" si="57"/>
        <v>7.6150000000000002</v>
      </c>
      <c r="T252" s="3">
        <f t="shared" si="58"/>
        <v>-11.132999999999999</v>
      </c>
      <c r="U252" s="3"/>
      <c r="V252" s="3">
        <f t="shared" si="59"/>
        <v>0.59099999999999997</v>
      </c>
      <c r="W252" s="3">
        <f t="shared" si="60"/>
        <v>-5.6929999999999996</v>
      </c>
      <c r="Y252" s="3">
        <f t="shared" si="61"/>
        <v>43.817999999999998</v>
      </c>
      <c r="Z252" s="3">
        <f t="shared" si="62"/>
        <v>-5.1019999999999994</v>
      </c>
      <c r="AA252" s="3">
        <f t="shared" si="63"/>
        <v>38.716000000000001</v>
      </c>
      <c r="AB252" s="3"/>
      <c r="AC252" s="2" t="str">
        <f t="shared" si="64"/>
        <v>1996-12</v>
      </c>
      <c r="AD252" s="9">
        <f t="shared" si="65"/>
        <v>306.33799999999997</v>
      </c>
      <c r="AE252" s="9">
        <f t="shared" si="66"/>
        <v>-46.757000000000005</v>
      </c>
      <c r="AF252" s="9">
        <f t="shared" si="67"/>
        <v>259.58100000000002</v>
      </c>
      <c r="AG252" s="9"/>
      <c r="AH252" s="10">
        <v>35400</v>
      </c>
      <c r="AI252" s="9">
        <f t="shared" si="68"/>
        <v>232.24100000000001</v>
      </c>
      <c r="AJ252" s="9">
        <f t="shared" si="69"/>
        <v>41.722999999999992</v>
      </c>
      <c r="AK252" s="9">
        <f t="shared" si="70"/>
        <v>83.742999999999995</v>
      </c>
      <c r="AL252" s="9">
        <f t="shared" si="71"/>
        <v>-51.369</v>
      </c>
      <c r="AM252" s="12">
        <f t="shared" si="72"/>
        <v>27.340000000000003</v>
      </c>
    </row>
    <row r="253" spans="1:39" x14ac:dyDescent="0.25">
      <c r="A253">
        <v>99996</v>
      </c>
      <c r="B253" t="s">
        <v>240</v>
      </c>
      <c r="C253" s="13">
        <v>394494</v>
      </c>
      <c r="D253" s="13">
        <v>18063</v>
      </c>
      <c r="E253" s="13">
        <v>26271</v>
      </c>
      <c r="F253" s="13">
        <v>81232</v>
      </c>
      <c r="G253" s="13">
        <v>110111</v>
      </c>
      <c r="H253" s="13">
        <v>47709</v>
      </c>
      <c r="J253" s="13">
        <v>377347</v>
      </c>
      <c r="K253" s="13">
        <v>13851</v>
      </c>
      <c r="L253" s="13">
        <v>19681</v>
      </c>
      <c r="M253" s="13">
        <v>78365</v>
      </c>
      <c r="N253" s="13">
        <v>110366</v>
      </c>
      <c r="O253" s="13">
        <v>51124</v>
      </c>
      <c r="Q253" s="3">
        <f t="shared" si="55"/>
        <v>17.146999999999998</v>
      </c>
      <c r="R253" s="3">
        <f t="shared" si="56"/>
        <v>4.2119999999999997</v>
      </c>
      <c r="S253" s="3">
        <f t="shared" si="57"/>
        <v>6.59</v>
      </c>
      <c r="T253" s="3">
        <f t="shared" si="58"/>
        <v>-0.255</v>
      </c>
      <c r="U253" s="3"/>
      <c r="V253" s="3">
        <f t="shared" si="59"/>
        <v>2.867</v>
      </c>
      <c r="W253" s="3">
        <f t="shared" si="60"/>
        <v>-3.415</v>
      </c>
      <c r="Y253" s="3">
        <f t="shared" si="61"/>
        <v>27.693999999999999</v>
      </c>
      <c r="Z253" s="3">
        <f t="shared" si="62"/>
        <v>-0.54800000000000004</v>
      </c>
      <c r="AA253" s="3">
        <f t="shared" si="63"/>
        <v>27.146000000000001</v>
      </c>
      <c r="AB253" s="3"/>
      <c r="AC253" s="2" t="str">
        <f t="shared" si="64"/>
        <v>1997-01</v>
      </c>
      <c r="AD253" s="9">
        <f t="shared" si="65"/>
        <v>317.80400000000003</v>
      </c>
      <c r="AE253" s="9">
        <f t="shared" si="66"/>
        <v>-42.622</v>
      </c>
      <c r="AF253" s="9">
        <f t="shared" si="67"/>
        <v>275.18200000000002</v>
      </c>
      <c r="AG253" s="9"/>
      <c r="AH253" s="10">
        <v>35431</v>
      </c>
      <c r="AI253" s="9">
        <f t="shared" si="68"/>
        <v>236.21600000000001</v>
      </c>
      <c r="AJ253" s="9">
        <f t="shared" si="69"/>
        <v>43.301999999999992</v>
      </c>
      <c r="AK253" s="9">
        <f t="shared" si="70"/>
        <v>85.563000000000002</v>
      </c>
      <c r="AL253" s="9">
        <f t="shared" si="71"/>
        <v>-47.276999999999994</v>
      </c>
      <c r="AM253" s="12">
        <f t="shared" si="72"/>
        <v>38.966000000000008</v>
      </c>
    </row>
    <row r="254" spans="1:39" x14ac:dyDescent="0.25">
      <c r="A254">
        <v>99996</v>
      </c>
      <c r="B254" t="s">
        <v>241</v>
      </c>
      <c r="C254" s="13">
        <v>419611</v>
      </c>
      <c r="D254" s="13">
        <v>15948</v>
      </c>
      <c r="E254" s="13">
        <v>31373</v>
      </c>
      <c r="F254" s="13">
        <v>75562</v>
      </c>
      <c r="G254" s="13">
        <v>109261</v>
      </c>
      <c r="H254" s="13">
        <v>53679</v>
      </c>
      <c r="J254" s="13">
        <v>394342</v>
      </c>
      <c r="K254" s="13">
        <v>10628</v>
      </c>
      <c r="L254" s="13">
        <v>22015</v>
      </c>
      <c r="M254" s="13">
        <v>71190</v>
      </c>
      <c r="N254" s="13">
        <v>110934</v>
      </c>
      <c r="O254" s="13">
        <v>59001</v>
      </c>
      <c r="Q254" s="3">
        <f t="shared" si="55"/>
        <v>25.268999999999998</v>
      </c>
      <c r="R254" s="3">
        <f t="shared" si="56"/>
        <v>5.32</v>
      </c>
      <c r="S254" s="3">
        <f t="shared" si="57"/>
        <v>9.3580000000000005</v>
      </c>
      <c r="T254" s="3">
        <f t="shared" si="58"/>
        <v>-1.673</v>
      </c>
      <c r="U254" s="3"/>
      <c r="V254" s="3">
        <f t="shared" si="59"/>
        <v>4.3719999999999999</v>
      </c>
      <c r="W254" s="3">
        <f t="shared" si="60"/>
        <v>-5.3220000000000001</v>
      </c>
      <c r="Y254" s="3">
        <f t="shared" si="61"/>
        <v>38.274000000000001</v>
      </c>
      <c r="Z254" s="3">
        <f t="shared" si="62"/>
        <v>-0.95000000000000018</v>
      </c>
      <c r="AA254" s="3">
        <f t="shared" si="63"/>
        <v>37.323999999999998</v>
      </c>
      <c r="AB254" s="3"/>
      <c r="AC254" s="2" t="str">
        <f t="shared" si="64"/>
        <v>1997-02</v>
      </c>
      <c r="AD254" s="9">
        <f t="shared" si="65"/>
        <v>329.84300000000002</v>
      </c>
      <c r="AE254" s="9">
        <f t="shared" si="66"/>
        <v>-39.331000000000003</v>
      </c>
      <c r="AF254" s="9">
        <f t="shared" si="67"/>
        <v>290.512</v>
      </c>
      <c r="AG254" s="9"/>
      <c r="AH254" s="10">
        <v>35462</v>
      </c>
      <c r="AI254" s="9">
        <f t="shared" si="68"/>
        <v>243.505</v>
      </c>
      <c r="AJ254" s="9">
        <f t="shared" si="69"/>
        <v>44.943000000000005</v>
      </c>
      <c r="AK254" s="9">
        <f t="shared" si="70"/>
        <v>89.067000000000007</v>
      </c>
      <c r="AL254" s="9">
        <f t="shared" si="71"/>
        <v>-47.672000000000004</v>
      </c>
      <c r="AM254" s="12">
        <f t="shared" si="72"/>
        <v>47.007000000000005</v>
      </c>
    </row>
    <row r="255" spans="1:39" x14ac:dyDescent="0.25">
      <c r="A255">
        <v>99996</v>
      </c>
      <c r="B255" t="s">
        <v>242</v>
      </c>
      <c r="C255" s="13">
        <v>384664</v>
      </c>
      <c r="D255" s="13">
        <v>13331</v>
      </c>
      <c r="E255" s="13">
        <v>27786</v>
      </c>
      <c r="F255" s="13">
        <v>73254</v>
      </c>
      <c r="G255" s="13">
        <v>128810</v>
      </c>
      <c r="H255" s="13">
        <v>51033</v>
      </c>
      <c r="J255" s="13">
        <v>364582</v>
      </c>
      <c r="K255" s="13">
        <v>9604</v>
      </c>
      <c r="L255" s="13">
        <v>22559</v>
      </c>
      <c r="M255" s="13">
        <v>71756</v>
      </c>
      <c r="N255" s="13">
        <v>131907</v>
      </c>
      <c r="O255" s="13">
        <v>55359</v>
      </c>
      <c r="Q255" s="3">
        <f t="shared" si="55"/>
        <v>20.082000000000001</v>
      </c>
      <c r="R255" s="3">
        <f t="shared" si="56"/>
        <v>3.7269999999999999</v>
      </c>
      <c r="S255" s="3">
        <f t="shared" si="57"/>
        <v>5.2270000000000003</v>
      </c>
      <c r="T255" s="3">
        <f t="shared" si="58"/>
        <v>-3.097</v>
      </c>
      <c r="U255" s="3"/>
      <c r="V255" s="3">
        <f t="shared" si="59"/>
        <v>1.498</v>
      </c>
      <c r="W255" s="3">
        <f t="shared" si="60"/>
        <v>-4.3259999999999996</v>
      </c>
      <c r="Y255" s="3">
        <f t="shared" si="61"/>
        <v>25.939</v>
      </c>
      <c r="Z255" s="3">
        <f t="shared" si="62"/>
        <v>-2.8279999999999994</v>
      </c>
      <c r="AA255" s="3">
        <f t="shared" si="63"/>
        <v>23.111000000000001</v>
      </c>
      <c r="AB255" s="3"/>
      <c r="AC255" s="2" t="str">
        <f t="shared" si="64"/>
        <v>1997-03</v>
      </c>
      <c r="AD255" s="9">
        <f t="shared" si="65"/>
        <v>341.48800000000006</v>
      </c>
      <c r="AE255" s="9">
        <f t="shared" si="66"/>
        <v>-32.656999999999996</v>
      </c>
      <c r="AF255" s="9">
        <f t="shared" si="67"/>
        <v>308.83100000000002</v>
      </c>
      <c r="AG255" s="9"/>
      <c r="AH255" s="10">
        <v>35490</v>
      </c>
      <c r="AI255" s="9">
        <f t="shared" si="68"/>
        <v>251.94599999999997</v>
      </c>
      <c r="AJ255" s="9">
        <f t="shared" si="69"/>
        <v>48.396000000000001</v>
      </c>
      <c r="AK255" s="9">
        <f t="shared" si="70"/>
        <v>85.881000000000014</v>
      </c>
      <c r="AL255" s="9">
        <f t="shared" si="71"/>
        <v>-44.734999999999999</v>
      </c>
      <c r="AM255" s="12">
        <f t="shared" si="72"/>
        <v>56.885000000000048</v>
      </c>
    </row>
    <row r="256" spans="1:39" x14ac:dyDescent="0.25">
      <c r="A256">
        <v>99996</v>
      </c>
      <c r="B256" t="s">
        <v>243</v>
      </c>
      <c r="C256" s="13">
        <v>400424</v>
      </c>
      <c r="D256" s="13">
        <v>16276</v>
      </c>
      <c r="E256" s="13">
        <v>23952</v>
      </c>
      <c r="F256" s="13">
        <v>75469</v>
      </c>
      <c r="G256" s="13">
        <v>116824</v>
      </c>
      <c r="H256" s="13">
        <v>50385</v>
      </c>
      <c r="J256" s="13">
        <v>374769</v>
      </c>
      <c r="K256" s="13">
        <v>10089</v>
      </c>
      <c r="L256" s="13">
        <v>18112</v>
      </c>
      <c r="M256" s="13">
        <v>68729</v>
      </c>
      <c r="N256" s="13">
        <v>111149</v>
      </c>
      <c r="O256" s="13">
        <v>54503</v>
      </c>
      <c r="Q256" s="3">
        <f t="shared" si="55"/>
        <v>25.655000000000001</v>
      </c>
      <c r="R256" s="3">
        <f t="shared" si="56"/>
        <v>6.1870000000000003</v>
      </c>
      <c r="S256" s="3">
        <f t="shared" si="57"/>
        <v>5.84</v>
      </c>
      <c r="T256" s="3">
        <f t="shared" si="58"/>
        <v>5.6749999999999998</v>
      </c>
      <c r="U256" s="3"/>
      <c r="V256" s="3">
        <f t="shared" si="59"/>
        <v>6.74</v>
      </c>
      <c r="W256" s="3">
        <f t="shared" si="60"/>
        <v>-4.1180000000000003</v>
      </c>
      <c r="Y256" s="3">
        <f t="shared" si="61"/>
        <v>43.356999999999999</v>
      </c>
      <c r="Z256" s="3">
        <f t="shared" si="62"/>
        <v>2.6219999999999999</v>
      </c>
      <c r="AA256" s="3">
        <f t="shared" si="63"/>
        <v>45.978999999999999</v>
      </c>
      <c r="AB256" s="3"/>
      <c r="AC256" s="2" t="str">
        <f t="shared" si="64"/>
        <v>1997-04</v>
      </c>
      <c r="AD256" s="9">
        <f t="shared" si="65"/>
        <v>367.64200000000005</v>
      </c>
      <c r="AE256" s="9">
        <f t="shared" si="66"/>
        <v>-27.177999999999997</v>
      </c>
      <c r="AF256" s="9">
        <f t="shared" si="67"/>
        <v>340.464</v>
      </c>
      <c r="AG256" s="9"/>
      <c r="AH256" s="10">
        <v>35521</v>
      </c>
      <c r="AI256" s="9">
        <f t="shared" si="68"/>
        <v>266.21499999999997</v>
      </c>
      <c r="AJ256" s="9">
        <f t="shared" si="69"/>
        <v>53.513999999999996</v>
      </c>
      <c r="AK256" s="9">
        <f t="shared" si="70"/>
        <v>86.414000000000016</v>
      </c>
      <c r="AL256" s="9">
        <f t="shared" si="71"/>
        <v>-38.501000000000005</v>
      </c>
      <c r="AM256" s="12">
        <f t="shared" si="72"/>
        <v>74.249000000000024</v>
      </c>
    </row>
    <row r="257" spans="1:39" x14ac:dyDescent="0.25">
      <c r="A257">
        <v>99996</v>
      </c>
      <c r="B257" t="s">
        <v>244</v>
      </c>
      <c r="C257" s="13">
        <v>410623</v>
      </c>
      <c r="D257" s="13">
        <v>16121</v>
      </c>
      <c r="E257" s="13">
        <v>28052</v>
      </c>
      <c r="F257" s="13">
        <v>88077</v>
      </c>
      <c r="G257" s="13">
        <v>119586</v>
      </c>
      <c r="H257" s="13">
        <v>59202</v>
      </c>
      <c r="J257" s="13">
        <v>403772</v>
      </c>
      <c r="K257" s="13">
        <v>12993</v>
      </c>
      <c r="L257" s="13">
        <v>21288</v>
      </c>
      <c r="M257" s="13">
        <v>81731</v>
      </c>
      <c r="N257" s="13">
        <v>120648</v>
      </c>
      <c r="O257" s="13">
        <v>63009</v>
      </c>
      <c r="Q257" s="3">
        <f t="shared" si="55"/>
        <v>6.851</v>
      </c>
      <c r="R257" s="3">
        <f t="shared" si="56"/>
        <v>3.1280000000000001</v>
      </c>
      <c r="S257" s="3">
        <f t="shared" si="57"/>
        <v>6.7640000000000002</v>
      </c>
      <c r="T257" s="3">
        <f t="shared" si="58"/>
        <v>-1.0620000000000001</v>
      </c>
      <c r="U257" s="3"/>
      <c r="V257" s="3">
        <f t="shared" si="59"/>
        <v>6.3460000000000001</v>
      </c>
      <c r="W257" s="3">
        <f t="shared" si="60"/>
        <v>-3.8069999999999999</v>
      </c>
      <c r="Y257" s="3">
        <f t="shared" si="61"/>
        <v>15.680999999999999</v>
      </c>
      <c r="Z257" s="3">
        <f t="shared" si="62"/>
        <v>2.5390000000000001</v>
      </c>
      <c r="AA257" s="3">
        <f t="shared" si="63"/>
        <v>18.220000000000002</v>
      </c>
      <c r="AB257" s="3"/>
      <c r="AC257" s="2" t="str">
        <f t="shared" si="64"/>
        <v>1997-05</v>
      </c>
      <c r="AD257" s="9">
        <f t="shared" si="65"/>
        <v>358.63200000000001</v>
      </c>
      <c r="AE257" s="9">
        <f t="shared" si="66"/>
        <v>-22.832999999999998</v>
      </c>
      <c r="AF257" s="9">
        <f t="shared" si="67"/>
        <v>335.79900000000004</v>
      </c>
      <c r="AG257" s="9"/>
      <c r="AH257" s="10">
        <v>35551</v>
      </c>
      <c r="AI257" s="9">
        <f t="shared" si="68"/>
        <v>258.96699999999998</v>
      </c>
      <c r="AJ257" s="9">
        <f t="shared" si="69"/>
        <v>53.330999999999989</v>
      </c>
      <c r="AK257" s="9">
        <f t="shared" si="70"/>
        <v>85.064000000000007</v>
      </c>
      <c r="AL257" s="9">
        <f t="shared" si="71"/>
        <v>-38.730000000000004</v>
      </c>
      <c r="AM257" s="12">
        <f t="shared" si="72"/>
        <v>76.83200000000005</v>
      </c>
    </row>
    <row r="258" spans="1:39" x14ac:dyDescent="0.25">
      <c r="A258">
        <v>99996</v>
      </c>
      <c r="B258" t="s">
        <v>245</v>
      </c>
      <c r="C258" s="13">
        <v>442216</v>
      </c>
      <c r="D258" s="13">
        <v>18700</v>
      </c>
      <c r="E258" s="13">
        <v>37181</v>
      </c>
      <c r="F258" s="13">
        <v>90807</v>
      </c>
      <c r="G258" s="13">
        <v>113892</v>
      </c>
      <c r="H258" s="13">
        <v>67498</v>
      </c>
      <c r="J258" s="13">
        <v>419719</v>
      </c>
      <c r="K258" s="13">
        <v>16844</v>
      </c>
      <c r="L258" s="13">
        <v>27170</v>
      </c>
      <c r="M258" s="13">
        <v>81104</v>
      </c>
      <c r="N258" s="13">
        <v>127945</v>
      </c>
      <c r="O258" s="13">
        <v>73344</v>
      </c>
      <c r="Q258" s="3">
        <f t="shared" si="55"/>
        <v>22.497</v>
      </c>
      <c r="R258" s="3">
        <f t="shared" si="56"/>
        <v>1.8560000000000001</v>
      </c>
      <c r="S258" s="3">
        <f t="shared" si="57"/>
        <v>10.010999999999999</v>
      </c>
      <c r="T258" s="3">
        <f t="shared" si="58"/>
        <v>-14.053000000000001</v>
      </c>
      <c r="U258" s="3"/>
      <c r="V258" s="3">
        <f t="shared" si="59"/>
        <v>9.7029999999999994</v>
      </c>
      <c r="W258" s="3">
        <f t="shared" si="60"/>
        <v>-5.8460000000000001</v>
      </c>
      <c r="Y258" s="3">
        <f t="shared" si="61"/>
        <v>20.311000000000003</v>
      </c>
      <c r="Z258" s="3">
        <f t="shared" si="62"/>
        <v>3.8569999999999993</v>
      </c>
      <c r="AA258" s="3">
        <f t="shared" si="63"/>
        <v>24.168000000000003</v>
      </c>
      <c r="AB258" s="3"/>
      <c r="AC258" s="2" t="str">
        <f t="shared" si="64"/>
        <v>1997-06</v>
      </c>
      <c r="AD258" s="9">
        <f t="shared" si="65"/>
        <v>363.52</v>
      </c>
      <c r="AE258" s="9">
        <f t="shared" si="66"/>
        <v>-11.909000000000001</v>
      </c>
      <c r="AF258" s="9">
        <f t="shared" si="67"/>
        <v>351.61100000000005</v>
      </c>
      <c r="AG258" s="9"/>
      <c r="AH258" s="10">
        <v>35582</v>
      </c>
      <c r="AI258" s="9">
        <f t="shared" si="68"/>
        <v>272.89400000000001</v>
      </c>
      <c r="AJ258" s="9">
        <f t="shared" si="69"/>
        <v>50.938999999999993</v>
      </c>
      <c r="AK258" s="9">
        <f t="shared" si="70"/>
        <v>89.484999999999999</v>
      </c>
      <c r="AL258" s="9">
        <f t="shared" si="71"/>
        <v>-49.798000000000002</v>
      </c>
      <c r="AM258" s="12">
        <f t="shared" si="72"/>
        <v>78.717000000000041</v>
      </c>
    </row>
    <row r="259" spans="1:39" x14ac:dyDescent="0.25">
      <c r="A259">
        <v>99996</v>
      </c>
      <c r="B259" t="s">
        <v>246</v>
      </c>
      <c r="C259" s="13">
        <v>385918</v>
      </c>
      <c r="D259" s="13">
        <v>27542</v>
      </c>
      <c r="E259" s="13">
        <v>34717</v>
      </c>
      <c r="F259" s="13">
        <v>95664</v>
      </c>
      <c r="G259" s="13">
        <v>130491</v>
      </c>
      <c r="H259" s="13">
        <v>70898</v>
      </c>
      <c r="J259" s="13">
        <v>382923</v>
      </c>
      <c r="K259" s="13">
        <v>21728</v>
      </c>
      <c r="L259" s="13">
        <v>24058</v>
      </c>
      <c r="M259" s="13">
        <v>84655</v>
      </c>
      <c r="N259" s="13">
        <v>141620</v>
      </c>
      <c r="O259" s="13">
        <v>78838</v>
      </c>
      <c r="Q259" s="3">
        <f t="shared" si="55"/>
        <v>2.9950000000000001</v>
      </c>
      <c r="R259" s="3">
        <f t="shared" si="56"/>
        <v>5.8140000000000001</v>
      </c>
      <c r="S259" s="3">
        <f t="shared" si="57"/>
        <v>10.659000000000001</v>
      </c>
      <c r="T259" s="3">
        <f t="shared" si="58"/>
        <v>-11.129</v>
      </c>
      <c r="U259" s="3"/>
      <c r="V259" s="3">
        <f t="shared" si="59"/>
        <v>11.009</v>
      </c>
      <c r="W259" s="3">
        <f t="shared" si="60"/>
        <v>-7.94</v>
      </c>
      <c r="Y259" s="3">
        <f t="shared" si="61"/>
        <v>8.339000000000004</v>
      </c>
      <c r="Z259" s="3">
        <f t="shared" si="62"/>
        <v>3.069</v>
      </c>
      <c r="AA259" s="3">
        <f t="shared" si="63"/>
        <v>11.408000000000005</v>
      </c>
      <c r="AB259" s="3"/>
      <c r="AC259" s="2" t="str">
        <f t="shared" si="64"/>
        <v>1997-07</v>
      </c>
      <c r="AD259" s="9">
        <f t="shared" si="65"/>
        <v>320.18199999999996</v>
      </c>
      <c r="AE259" s="9">
        <f t="shared" si="66"/>
        <v>-0.41800000000000015</v>
      </c>
      <c r="AF259" s="9">
        <f t="shared" si="67"/>
        <v>319.76400000000007</v>
      </c>
      <c r="AG259" s="9"/>
      <c r="AH259" s="10">
        <v>35612</v>
      </c>
      <c r="AI259" s="9">
        <f t="shared" si="68"/>
        <v>230.49799999999999</v>
      </c>
      <c r="AJ259" s="9">
        <f t="shared" si="69"/>
        <v>52.434999999999995</v>
      </c>
      <c r="AK259" s="9">
        <f t="shared" si="70"/>
        <v>94.022000000000006</v>
      </c>
      <c r="AL259" s="9">
        <f t="shared" si="71"/>
        <v>-56.773000000000003</v>
      </c>
      <c r="AM259" s="12">
        <f t="shared" si="72"/>
        <v>89.266000000000076</v>
      </c>
    </row>
    <row r="260" spans="1:39" x14ac:dyDescent="0.25">
      <c r="A260">
        <v>99996</v>
      </c>
      <c r="B260" t="s">
        <v>247</v>
      </c>
      <c r="C260" s="13">
        <v>450374</v>
      </c>
      <c r="D260" s="13">
        <v>30814</v>
      </c>
      <c r="E260" s="13">
        <v>31375</v>
      </c>
      <c r="F260" s="13">
        <v>99175</v>
      </c>
      <c r="G260" s="13">
        <v>120659</v>
      </c>
      <c r="H260" s="13">
        <v>63701</v>
      </c>
      <c r="J260" s="13">
        <v>425892</v>
      </c>
      <c r="K260" s="13">
        <v>23131</v>
      </c>
      <c r="L260" s="13">
        <v>24942</v>
      </c>
      <c r="M260" s="13">
        <v>91623</v>
      </c>
      <c r="N260" s="13">
        <v>126491</v>
      </c>
      <c r="O260" s="13">
        <v>71621</v>
      </c>
      <c r="Q260" s="3">
        <f t="shared" si="55"/>
        <v>24.481999999999999</v>
      </c>
      <c r="R260" s="3">
        <f t="shared" si="56"/>
        <v>7.6829999999999998</v>
      </c>
      <c r="S260" s="3">
        <f t="shared" si="57"/>
        <v>6.4329999999999998</v>
      </c>
      <c r="T260" s="3">
        <f t="shared" si="58"/>
        <v>-5.8319999999999999</v>
      </c>
      <c r="U260" s="3"/>
      <c r="V260" s="3">
        <f t="shared" si="59"/>
        <v>7.5519999999999996</v>
      </c>
      <c r="W260" s="3">
        <f t="shared" si="60"/>
        <v>-7.92</v>
      </c>
      <c r="Y260" s="3">
        <f t="shared" si="61"/>
        <v>32.765999999999998</v>
      </c>
      <c r="Z260" s="3">
        <f t="shared" si="62"/>
        <v>-0.36800000000000033</v>
      </c>
      <c r="AA260" s="3">
        <f t="shared" si="63"/>
        <v>32.397999999999996</v>
      </c>
      <c r="AB260" s="3"/>
      <c r="AC260" s="2" t="str">
        <f t="shared" si="64"/>
        <v>1997-08</v>
      </c>
      <c r="AD260" s="9">
        <f t="shared" si="65"/>
        <v>334.63199999999995</v>
      </c>
      <c r="AE260" s="9">
        <f t="shared" si="66"/>
        <v>-1.2080000000000011</v>
      </c>
      <c r="AF260" s="9">
        <f t="shared" si="67"/>
        <v>333.42399999999998</v>
      </c>
      <c r="AG260" s="9"/>
      <c r="AH260" s="10">
        <v>35643</v>
      </c>
      <c r="AI260" s="9">
        <f t="shared" si="68"/>
        <v>244.00399999999999</v>
      </c>
      <c r="AJ260" s="9">
        <f t="shared" si="69"/>
        <v>55.619</v>
      </c>
      <c r="AK260" s="9">
        <f t="shared" si="70"/>
        <v>92.16500000000002</v>
      </c>
      <c r="AL260" s="9">
        <f t="shared" si="71"/>
        <v>-57.155999999999992</v>
      </c>
      <c r="AM260" s="12">
        <f t="shared" si="72"/>
        <v>89.419999999999987</v>
      </c>
    </row>
    <row r="261" spans="1:39" x14ac:dyDescent="0.25">
      <c r="A261">
        <v>99996</v>
      </c>
      <c r="B261" t="s">
        <v>248</v>
      </c>
      <c r="C261" s="13">
        <v>397027</v>
      </c>
      <c r="D261" s="13">
        <v>22110</v>
      </c>
      <c r="E261" s="13">
        <v>28177</v>
      </c>
      <c r="F261" s="13">
        <v>96182</v>
      </c>
      <c r="G261" s="13">
        <v>117264</v>
      </c>
      <c r="H261" s="13">
        <v>66853</v>
      </c>
      <c r="J261" s="13">
        <v>381527</v>
      </c>
      <c r="K261" s="13">
        <v>20338</v>
      </c>
      <c r="L261" s="13">
        <v>20773</v>
      </c>
      <c r="M261" s="13">
        <v>87422</v>
      </c>
      <c r="N261" s="13">
        <v>124897</v>
      </c>
      <c r="O261" s="13">
        <v>65369</v>
      </c>
      <c r="Q261" s="3">
        <f t="shared" si="55"/>
        <v>15.5</v>
      </c>
      <c r="R261" s="3">
        <f t="shared" si="56"/>
        <v>1.772</v>
      </c>
      <c r="S261" s="3">
        <f t="shared" si="57"/>
        <v>7.4039999999999999</v>
      </c>
      <c r="T261" s="3">
        <f t="shared" si="58"/>
        <v>-7.633</v>
      </c>
      <c r="U261" s="3"/>
      <c r="V261" s="3">
        <f t="shared" si="59"/>
        <v>8.76</v>
      </c>
      <c r="W261" s="3">
        <f t="shared" si="60"/>
        <v>1.484</v>
      </c>
      <c r="Y261" s="3">
        <f t="shared" si="61"/>
        <v>17.042999999999999</v>
      </c>
      <c r="Z261" s="3">
        <f t="shared" si="62"/>
        <v>10.244</v>
      </c>
      <c r="AA261" s="3">
        <f t="shared" si="63"/>
        <v>27.286999999999999</v>
      </c>
      <c r="AB261" s="3"/>
      <c r="AC261" s="2" t="str">
        <f t="shared" si="64"/>
        <v>1997-09</v>
      </c>
      <c r="AD261" s="9">
        <f t="shared" si="65"/>
        <v>329.95300000000003</v>
      </c>
      <c r="AE261" s="9">
        <f t="shared" si="66"/>
        <v>10.942</v>
      </c>
      <c r="AF261" s="9">
        <f t="shared" si="67"/>
        <v>340.89499999999992</v>
      </c>
      <c r="AG261" s="9"/>
      <c r="AH261" s="10">
        <v>35674</v>
      </c>
      <c r="AI261" s="9">
        <f t="shared" si="68"/>
        <v>246.07399999999998</v>
      </c>
      <c r="AJ261" s="9">
        <f t="shared" si="69"/>
        <v>53.274000000000001</v>
      </c>
      <c r="AK261" s="9">
        <f t="shared" si="70"/>
        <v>89.955000000000013</v>
      </c>
      <c r="AL261" s="9">
        <f t="shared" si="71"/>
        <v>-59.35</v>
      </c>
      <c r="AM261" s="12">
        <f t="shared" si="72"/>
        <v>94.820999999999941</v>
      </c>
    </row>
    <row r="262" spans="1:39" x14ac:dyDescent="0.25">
      <c r="A262">
        <v>99996</v>
      </c>
      <c r="B262" t="s">
        <v>249</v>
      </c>
      <c r="C262" s="13">
        <v>506334</v>
      </c>
      <c r="D262" s="13">
        <v>26126</v>
      </c>
      <c r="E262" s="13">
        <v>31808</v>
      </c>
      <c r="F262" s="13">
        <v>122428</v>
      </c>
      <c r="G262" s="13">
        <v>157818</v>
      </c>
      <c r="H262" s="13">
        <v>81073</v>
      </c>
      <c r="J262" s="13">
        <v>489152</v>
      </c>
      <c r="K262" s="13">
        <v>18251</v>
      </c>
      <c r="L262" s="13">
        <v>25936</v>
      </c>
      <c r="M262" s="13">
        <v>122680</v>
      </c>
      <c r="N262" s="13">
        <v>158825</v>
      </c>
      <c r="O262" s="13">
        <v>83946</v>
      </c>
      <c r="Q262" s="3">
        <f t="shared" si="55"/>
        <v>17.181999999999999</v>
      </c>
      <c r="R262" s="3">
        <f t="shared" si="56"/>
        <v>7.875</v>
      </c>
      <c r="S262" s="3">
        <f t="shared" si="57"/>
        <v>5.8719999999999999</v>
      </c>
      <c r="T262" s="3">
        <f t="shared" si="58"/>
        <v>-1.0069999999999999</v>
      </c>
      <c r="U262" s="3"/>
      <c r="V262" s="3">
        <f t="shared" si="59"/>
        <v>-0.252</v>
      </c>
      <c r="W262" s="3">
        <f t="shared" si="60"/>
        <v>-2.8730000000000002</v>
      </c>
      <c r="Y262" s="3">
        <f t="shared" si="61"/>
        <v>29.921999999999997</v>
      </c>
      <c r="Z262" s="3">
        <f t="shared" si="62"/>
        <v>-3.125</v>
      </c>
      <c r="AA262" s="3">
        <f t="shared" si="63"/>
        <v>26.796999999999997</v>
      </c>
      <c r="AB262" s="3"/>
      <c r="AC262" s="2" t="str">
        <f t="shared" si="64"/>
        <v>1997-10</v>
      </c>
      <c r="AD262" s="9">
        <f t="shared" si="65"/>
        <v>330.43500000000006</v>
      </c>
      <c r="AE262" s="9">
        <f t="shared" si="66"/>
        <v>9.5229999999999997</v>
      </c>
      <c r="AF262" s="9">
        <f t="shared" si="67"/>
        <v>339.95799999999997</v>
      </c>
      <c r="AG262" s="9"/>
      <c r="AH262" s="10">
        <v>35704</v>
      </c>
      <c r="AI262" s="9">
        <f t="shared" si="68"/>
        <v>239.13499999999999</v>
      </c>
      <c r="AJ262" s="9">
        <f t="shared" si="69"/>
        <v>57.231000000000002</v>
      </c>
      <c r="AK262" s="9">
        <f t="shared" si="70"/>
        <v>88.421000000000006</v>
      </c>
      <c r="AL262" s="9">
        <f t="shared" si="71"/>
        <v>-54.351999999999997</v>
      </c>
      <c r="AM262" s="12">
        <f t="shared" si="72"/>
        <v>100.82299999999998</v>
      </c>
    </row>
    <row r="263" spans="1:39" x14ac:dyDescent="0.25">
      <c r="A263">
        <v>99996</v>
      </c>
      <c r="B263" t="s">
        <v>250</v>
      </c>
      <c r="C263" s="13">
        <v>352968</v>
      </c>
      <c r="D263" s="13">
        <v>28563</v>
      </c>
      <c r="E263" s="13">
        <v>23659</v>
      </c>
      <c r="F263" s="13">
        <v>96441</v>
      </c>
      <c r="G263" s="13">
        <v>112036</v>
      </c>
      <c r="H263" s="13">
        <v>73525</v>
      </c>
      <c r="J263" s="13">
        <v>337059</v>
      </c>
      <c r="K263" s="13">
        <v>29121</v>
      </c>
      <c r="L263" s="13">
        <v>19672</v>
      </c>
      <c r="M263" s="13">
        <v>90969</v>
      </c>
      <c r="N263" s="13">
        <v>116902</v>
      </c>
      <c r="O263" s="13">
        <v>71818</v>
      </c>
      <c r="Q263" s="3">
        <f t="shared" si="55"/>
        <v>15.909000000000001</v>
      </c>
      <c r="R263" s="3">
        <f t="shared" si="56"/>
        <v>-0.55800000000000005</v>
      </c>
      <c r="S263" s="3">
        <f t="shared" si="57"/>
        <v>3.9870000000000001</v>
      </c>
      <c r="T263" s="3">
        <f t="shared" si="58"/>
        <v>-4.8659999999999997</v>
      </c>
      <c r="U263" s="3"/>
      <c r="V263" s="3">
        <f t="shared" si="59"/>
        <v>5.4720000000000004</v>
      </c>
      <c r="W263" s="3">
        <f t="shared" si="60"/>
        <v>1.7070000000000001</v>
      </c>
      <c r="Y263" s="3">
        <f t="shared" si="61"/>
        <v>14.472000000000001</v>
      </c>
      <c r="Z263" s="3">
        <f t="shared" si="62"/>
        <v>7.1790000000000003</v>
      </c>
      <c r="AA263" s="3">
        <f t="shared" si="63"/>
        <v>21.651000000000003</v>
      </c>
      <c r="AB263" s="3"/>
      <c r="AC263" s="2" t="str">
        <f t="shared" si="64"/>
        <v>1997-11</v>
      </c>
      <c r="AD263" s="9">
        <f t="shared" si="65"/>
        <v>317.61599999999999</v>
      </c>
      <c r="AE263" s="9">
        <f t="shared" si="66"/>
        <v>16.588999999999999</v>
      </c>
      <c r="AF263" s="9">
        <f t="shared" si="67"/>
        <v>334.20499999999998</v>
      </c>
      <c r="AG263" s="9"/>
      <c r="AH263" s="10">
        <v>35735</v>
      </c>
      <c r="AI263" s="9">
        <f t="shared" si="68"/>
        <v>237.84099999999995</v>
      </c>
      <c r="AJ263" s="9">
        <f t="shared" si="69"/>
        <v>50.080000000000005</v>
      </c>
      <c r="AK263" s="9">
        <f t="shared" si="70"/>
        <v>85.759999999999991</v>
      </c>
      <c r="AL263" s="9">
        <f t="shared" si="71"/>
        <v>-56.064999999999998</v>
      </c>
      <c r="AM263" s="12">
        <f t="shared" si="72"/>
        <v>96.364000000000033</v>
      </c>
    </row>
    <row r="264" spans="1:39" x14ac:dyDescent="0.25">
      <c r="A264">
        <v>99996</v>
      </c>
      <c r="B264" t="s">
        <v>251</v>
      </c>
      <c r="C264" s="13">
        <v>320492</v>
      </c>
      <c r="D264" s="13">
        <v>25702</v>
      </c>
      <c r="E264" s="13">
        <v>26522</v>
      </c>
      <c r="F264" s="13">
        <v>103667</v>
      </c>
      <c r="G264" s="13">
        <v>114979</v>
      </c>
      <c r="H264" s="13">
        <v>70462</v>
      </c>
      <c r="J264" s="13">
        <v>329890</v>
      </c>
      <c r="K264" s="13">
        <v>22865</v>
      </c>
      <c r="L264" s="13">
        <v>20309</v>
      </c>
      <c r="M264" s="13">
        <v>98137</v>
      </c>
      <c r="N264" s="13">
        <v>118191</v>
      </c>
      <c r="O264" s="13">
        <v>69025</v>
      </c>
      <c r="Q264" s="3">
        <f t="shared" si="55"/>
        <v>-9.3979999999999997</v>
      </c>
      <c r="R264" s="3">
        <f t="shared" si="56"/>
        <v>2.8370000000000002</v>
      </c>
      <c r="S264" s="3">
        <f t="shared" si="57"/>
        <v>6.2130000000000001</v>
      </c>
      <c r="T264" s="3">
        <f t="shared" si="58"/>
        <v>-3.2120000000000002</v>
      </c>
      <c r="U264" s="3"/>
      <c r="V264" s="3">
        <f t="shared" si="59"/>
        <v>5.53</v>
      </c>
      <c r="W264" s="3">
        <f t="shared" si="60"/>
        <v>1.4370000000000001</v>
      </c>
      <c r="Y264" s="3">
        <f t="shared" si="61"/>
        <v>-3.56</v>
      </c>
      <c r="Z264" s="3">
        <f t="shared" si="62"/>
        <v>6.9670000000000005</v>
      </c>
      <c r="AA264" s="3">
        <f t="shared" si="63"/>
        <v>3.407</v>
      </c>
      <c r="AB264" s="3"/>
      <c r="AC264" s="2" t="str">
        <f t="shared" si="64"/>
        <v>1997-12</v>
      </c>
      <c r="AD264" s="9">
        <f t="shared" si="65"/>
        <v>270.238</v>
      </c>
      <c r="AE264" s="9">
        <f t="shared" si="66"/>
        <v>28.658000000000001</v>
      </c>
      <c r="AF264" s="9">
        <f t="shared" si="67"/>
        <v>298.89600000000002</v>
      </c>
      <c r="AG264" s="9"/>
      <c r="AH264" s="10">
        <v>35765</v>
      </c>
      <c r="AI264" s="9">
        <f t="shared" si="68"/>
        <v>184.17099999999999</v>
      </c>
      <c r="AJ264" s="9">
        <f t="shared" si="69"/>
        <v>49.853000000000009</v>
      </c>
      <c r="AK264" s="9">
        <f t="shared" si="70"/>
        <v>84.35799999999999</v>
      </c>
      <c r="AL264" s="9">
        <f t="shared" si="71"/>
        <v>-48.144000000000005</v>
      </c>
      <c r="AM264" s="12">
        <f t="shared" si="72"/>
        <v>114.72500000000002</v>
      </c>
    </row>
    <row r="265" spans="1:39" x14ac:dyDescent="0.25">
      <c r="A265">
        <v>99996</v>
      </c>
      <c r="B265" t="s">
        <v>252</v>
      </c>
      <c r="C265" s="13">
        <v>416203</v>
      </c>
      <c r="D265" s="13">
        <v>29850</v>
      </c>
      <c r="E265" s="13">
        <v>27704</v>
      </c>
      <c r="F265" s="13">
        <v>100282</v>
      </c>
      <c r="G265" s="13">
        <v>100733</v>
      </c>
      <c r="H265" s="13">
        <v>63651</v>
      </c>
      <c r="J265" s="13">
        <v>410972</v>
      </c>
      <c r="K265" s="13">
        <v>25860</v>
      </c>
      <c r="L265" s="13">
        <v>19235</v>
      </c>
      <c r="M265" s="13">
        <v>93156</v>
      </c>
      <c r="N265" s="13">
        <v>100835</v>
      </c>
      <c r="O265" s="13">
        <v>63532</v>
      </c>
      <c r="Q265" s="3">
        <f t="shared" si="55"/>
        <v>5.2309999999999999</v>
      </c>
      <c r="R265" s="3">
        <f t="shared" si="56"/>
        <v>3.99</v>
      </c>
      <c r="S265" s="3">
        <f t="shared" si="57"/>
        <v>8.4689999999999994</v>
      </c>
      <c r="T265" s="3">
        <f t="shared" si="58"/>
        <v>-0.10199999999999999</v>
      </c>
      <c r="U265" s="3"/>
      <c r="V265" s="3">
        <f t="shared" si="59"/>
        <v>7.1260000000000003</v>
      </c>
      <c r="W265" s="3">
        <f t="shared" si="60"/>
        <v>0.11899999999999999</v>
      </c>
      <c r="Y265" s="3">
        <f t="shared" si="61"/>
        <v>17.587999999999997</v>
      </c>
      <c r="Z265" s="3">
        <f t="shared" si="62"/>
        <v>7.2450000000000001</v>
      </c>
      <c r="AA265" s="3">
        <f t="shared" si="63"/>
        <v>24.832999999999998</v>
      </c>
      <c r="AB265" s="3"/>
      <c r="AC265" s="2" t="str">
        <f t="shared" si="64"/>
        <v>1998-01</v>
      </c>
      <c r="AD265" s="9">
        <f t="shared" si="65"/>
        <v>260.13200000000001</v>
      </c>
      <c r="AE265" s="9">
        <f t="shared" si="66"/>
        <v>36.451000000000001</v>
      </c>
      <c r="AF265" s="9">
        <f t="shared" si="67"/>
        <v>296.58299999999997</v>
      </c>
      <c r="AG265" s="9"/>
      <c r="AH265" s="10">
        <v>35796</v>
      </c>
      <c r="AI265" s="9">
        <f t="shared" si="68"/>
        <v>172.255</v>
      </c>
      <c r="AJ265" s="9">
        <f t="shared" si="69"/>
        <v>49.631000000000007</v>
      </c>
      <c r="AK265" s="9">
        <f t="shared" si="70"/>
        <v>86.236999999999981</v>
      </c>
      <c r="AL265" s="9">
        <f t="shared" si="71"/>
        <v>-47.991</v>
      </c>
      <c r="AM265" s="12">
        <f t="shared" si="72"/>
        <v>124.32799999999997</v>
      </c>
    </row>
    <row r="266" spans="1:39" x14ac:dyDescent="0.25">
      <c r="A266">
        <v>99996</v>
      </c>
      <c r="B266" t="s">
        <v>253</v>
      </c>
      <c r="C266" s="13">
        <v>375861</v>
      </c>
      <c r="D266" s="13">
        <v>35886</v>
      </c>
      <c r="E266" s="13">
        <v>31547</v>
      </c>
      <c r="F266" s="13">
        <v>106988</v>
      </c>
      <c r="G266" s="13">
        <v>100027</v>
      </c>
      <c r="H266" s="13">
        <v>68852</v>
      </c>
      <c r="J266" s="13">
        <v>366118</v>
      </c>
      <c r="K266" s="13">
        <v>27750</v>
      </c>
      <c r="L266" s="13">
        <v>22795</v>
      </c>
      <c r="M266" s="13">
        <v>97501</v>
      </c>
      <c r="N266" s="13">
        <v>105020</v>
      </c>
      <c r="O266" s="13">
        <v>70124</v>
      </c>
      <c r="Q266" s="3">
        <f t="shared" si="55"/>
        <v>9.7430000000000003</v>
      </c>
      <c r="R266" s="3">
        <f t="shared" si="56"/>
        <v>8.1359999999999992</v>
      </c>
      <c r="S266" s="3">
        <f t="shared" si="57"/>
        <v>8.7520000000000007</v>
      </c>
      <c r="T266" s="3">
        <f t="shared" si="58"/>
        <v>-4.9930000000000003</v>
      </c>
      <c r="U266" s="3"/>
      <c r="V266" s="3">
        <f t="shared" si="59"/>
        <v>9.4870000000000001</v>
      </c>
      <c r="W266" s="3">
        <f t="shared" si="60"/>
        <v>-1.272</v>
      </c>
      <c r="Y266" s="3">
        <f t="shared" si="61"/>
        <v>21.637999999999998</v>
      </c>
      <c r="Z266" s="3">
        <f t="shared" si="62"/>
        <v>8.2149999999999999</v>
      </c>
      <c r="AA266" s="3">
        <f t="shared" si="63"/>
        <v>29.853000000000002</v>
      </c>
      <c r="AB266" s="3"/>
      <c r="AC266" s="2" t="str">
        <f t="shared" si="64"/>
        <v>1998-02</v>
      </c>
      <c r="AD266" s="9">
        <f t="shared" si="65"/>
        <v>243.49600000000001</v>
      </c>
      <c r="AE266" s="9">
        <f t="shared" si="66"/>
        <v>45.616</v>
      </c>
      <c r="AF266" s="9">
        <f t="shared" si="67"/>
        <v>289.11200000000002</v>
      </c>
      <c r="AG266" s="9"/>
      <c r="AH266" s="10">
        <v>35827</v>
      </c>
      <c r="AI266" s="9">
        <f t="shared" si="68"/>
        <v>156.72899999999998</v>
      </c>
      <c r="AJ266" s="9">
        <f t="shared" si="69"/>
        <v>52.447000000000003</v>
      </c>
      <c r="AK266" s="9">
        <f t="shared" si="70"/>
        <v>85.630999999999986</v>
      </c>
      <c r="AL266" s="9">
        <f t="shared" si="71"/>
        <v>-51.311</v>
      </c>
      <c r="AM266" s="12">
        <f t="shared" si="72"/>
        <v>132.38300000000004</v>
      </c>
    </row>
    <row r="267" spans="1:39" x14ac:dyDescent="0.25">
      <c r="A267">
        <v>99996</v>
      </c>
      <c r="B267" t="s">
        <v>254</v>
      </c>
      <c r="C267" s="13">
        <v>426977</v>
      </c>
      <c r="D267" s="13">
        <v>35345</v>
      </c>
      <c r="E267" s="13">
        <v>34913</v>
      </c>
      <c r="F267" s="13">
        <v>136184</v>
      </c>
      <c r="G267" s="13">
        <v>128482</v>
      </c>
      <c r="H267" s="13">
        <v>81370</v>
      </c>
      <c r="J267" s="13">
        <v>431429</v>
      </c>
      <c r="K267" s="13">
        <v>25502</v>
      </c>
      <c r="L267" s="13">
        <v>25193</v>
      </c>
      <c r="M267" s="13">
        <v>122769</v>
      </c>
      <c r="N267" s="13">
        <v>133020</v>
      </c>
      <c r="O267" s="13">
        <v>83255</v>
      </c>
      <c r="Q267" s="3">
        <f t="shared" si="55"/>
        <v>-4.452</v>
      </c>
      <c r="R267" s="3">
        <f t="shared" si="56"/>
        <v>9.843</v>
      </c>
      <c r="S267" s="3">
        <f t="shared" si="57"/>
        <v>9.7200000000000006</v>
      </c>
      <c r="T267" s="3">
        <f t="shared" si="58"/>
        <v>-4.5380000000000003</v>
      </c>
      <c r="U267" s="3"/>
      <c r="V267" s="3">
        <f t="shared" si="59"/>
        <v>13.414999999999999</v>
      </c>
      <c r="W267" s="3">
        <f t="shared" si="60"/>
        <v>-1.885</v>
      </c>
      <c r="Y267" s="3">
        <f t="shared" si="61"/>
        <v>10.573</v>
      </c>
      <c r="Z267" s="3">
        <f t="shared" si="62"/>
        <v>11.53</v>
      </c>
      <c r="AA267" s="3">
        <f t="shared" si="63"/>
        <v>22.102999999999998</v>
      </c>
      <c r="AB267" s="3"/>
      <c r="AC267" s="2" t="str">
        <f t="shared" si="64"/>
        <v>1998-03</v>
      </c>
      <c r="AD267" s="9">
        <f t="shared" si="65"/>
        <v>228.13000000000002</v>
      </c>
      <c r="AE267" s="9">
        <f t="shared" si="66"/>
        <v>59.974000000000004</v>
      </c>
      <c r="AF267" s="9">
        <f t="shared" si="67"/>
        <v>288.10400000000004</v>
      </c>
      <c r="AG267" s="9"/>
      <c r="AH267" s="10">
        <v>35855</v>
      </c>
      <c r="AI267" s="9">
        <f t="shared" si="68"/>
        <v>132.19499999999999</v>
      </c>
      <c r="AJ267" s="9">
        <f t="shared" si="69"/>
        <v>58.563000000000002</v>
      </c>
      <c r="AK267" s="9">
        <f t="shared" si="70"/>
        <v>90.123999999999995</v>
      </c>
      <c r="AL267" s="9">
        <f t="shared" si="71"/>
        <v>-52.75200000000001</v>
      </c>
      <c r="AM267" s="12">
        <f t="shared" si="72"/>
        <v>155.90900000000005</v>
      </c>
    </row>
    <row r="268" spans="1:39" x14ac:dyDescent="0.25">
      <c r="A268">
        <v>99996</v>
      </c>
      <c r="B268" t="s">
        <v>255</v>
      </c>
      <c r="C268" s="13">
        <v>374585</v>
      </c>
      <c r="D268" s="13">
        <v>37864</v>
      </c>
      <c r="E268" s="13">
        <v>39394</v>
      </c>
      <c r="F268" s="13">
        <v>134177</v>
      </c>
      <c r="G268" s="13">
        <v>118339</v>
      </c>
      <c r="H268" s="13">
        <v>80791</v>
      </c>
      <c r="J268" s="13">
        <v>369724</v>
      </c>
      <c r="K268" s="13">
        <v>30248</v>
      </c>
      <c r="L268" s="13">
        <v>22198</v>
      </c>
      <c r="M268" s="13">
        <v>130628</v>
      </c>
      <c r="N268" s="13">
        <v>130416</v>
      </c>
      <c r="O268" s="13">
        <v>82918</v>
      </c>
      <c r="Q268" s="3">
        <f t="shared" si="55"/>
        <v>4.8609999999999998</v>
      </c>
      <c r="R268" s="3">
        <f t="shared" si="56"/>
        <v>7.6159999999999997</v>
      </c>
      <c r="S268" s="3">
        <f t="shared" si="57"/>
        <v>17.196000000000002</v>
      </c>
      <c r="T268" s="3">
        <f t="shared" si="58"/>
        <v>-12.077</v>
      </c>
      <c r="U268" s="3"/>
      <c r="V268" s="3">
        <f t="shared" si="59"/>
        <v>3.5489999999999999</v>
      </c>
      <c r="W268" s="3">
        <f t="shared" si="60"/>
        <v>-2.1269999999999998</v>
      </c>
      <c r="Y268" s="3">
        <f t="shared" si="61"/>
        <v>17.596000000000004</v>
      </c>
      <c r="Z268" s="3">
        <f t="shared" si="62"/>
        <v>1.4220000000000002</v>
      </c>
      <c r="AA268" s="3">
        <f t="shared" si="63"/>
        <v>19.018000000000004</v>
      </c>
      <c r="AB268" s="3"/>
      <c r="AC268" s="2" t="str">
        <f t="shared" si="64"/>
        <v>1998-04</v>
      </c>
      <c r="AD268" s="9">
        <f t="shared" si="65"/>
        <v>202.36900000000003</v>
      </c>
      <c r="AE268" s="9">
        <f t="shared" si="66"/>
        <v>58.774000000000001</v>
      </c>
      <c r="AF268" s="9">
        <f t="shared" si="67"/>
        <v>261.14300000000003</v>
      </c>
      <c r="AG268" s="9"/>
      <c r="AH268" s="10">
        <v>35886</v>
      </c>
      <c r="AI268" s="9">
        <f t="shared" si="68"/>
        <v>111.401</v>
      </c>
      <c r="AJ268" s="9">
        <f t="shared" si="69"/>
        <v>59.992000000000004</v>
      </c>
      <c r="AK268" s="9">
        <f t="shared" si="70"/>
        <v>101.47999999999999</v>
      </c>
      <c r="AL268" s="9">
        <f t="shared" si="71"/>
        <v>-70.504000000000005</v>
      </c>
      <c r="AM268" s="12">
        <f t="shared" si="72"/>
        <v>149.74200000000002</v>
      </c>
    </row>
    <row r="269" spans="1:39" x14ac:dyDescent="0.25">
      <c r="A269">
        <v>99996</v>
      </c>
      <c r="B269" t="s">
        <v>256</v>
      </c>
      <c r="C269" s="13">
        <v>403694</v>
      </c>
      <c r="D269" s="13">
        <v>31779</v>
      </c>
      <c r="E269" s="13">
        <v>33765</v>
      </c>
      <c r="F269" s="13">
        <v>129562</v>
      </c>
      <c r="G269" s="13">
        <v>110397</v>
      </c>
      <c r="H269" s="13">
        <v>81280</v>
      </c>
      <c r="J269" s="13">
        <v>382199</v>
      </c>
      <c r="K269" s="13">
        <v>28645</v>
      </c>
      <c r="L269" s="13">
        <v>24641</v>
      </c>
      <c r="M269" s="13">
        <v>121357</v>
      </c>
      <c r="N269" s="13">
        <v>113071</v>
      </c>
      <c r="O269" s="13">
        <v>84469</v>
      </c>
      <c r="Q269" s="3">
        <f t="shared" ref="Q269:Q332" si="73">(C269-J269)/1000</f>
        <v>21.495000000000001</v>
      </c>
      <c r="R269" s="3">
        <f t="shared" ref="R269:R332" si="74">(D269-K269)/1000</f>
        <v>3.1339999999999999</v>
      </c>
      <c r="S269" s="3">
        <f t="shared" ref="S269:S332" si="75">(E269-L269)/1000</f>
        <v>9.1240000000000006</v>
      </c>
      <c r="T269" s="3">
        <f t="shared" ref="T269:T332" si="76">(G269-N269)/1000</f>
        <v>-2.6739999999999999</v>
      </c>
      <c r="U269" s="3"/>
      <c r="V269" s="3">
        <f t="shared" ref="V269:V332" si="77">(F269-M269)/1000</f>
        <v>8.2050000000000001</v>
      </c>
      <c r="W269" s="3">
        <f t="shared" ref="W269:W332" si="78">(H269-O269)/1000</f>
        <v>-3.1890000000000001</v>
      </c>
      <c r="Y269" s="3">
        <f t="shared" ref="Y269:Y332" si="79">SUM(Q269:T269)</f>
        <v>31.079000000000001</v>
      </c>
      <c r="Z269" s="3">
        <f t="shared" ref="Z269:Z332" si="80">V269+W269</f>
        <v>5.016</v>
      </c>
      <c r="AA269" s="3">
        <f t="shared" ref="AA269:AA332" si="81">SUM(Q269:W269)</f>
        <v>36.094999999999999</v>
      </c>
      <c r="AB269" s="3"/>
      <c r="AC269" s="2" t="str">
        <f t="shared" si="64"/>
        <v>1998-05</v>
      </c>
      <c r="AD269" s="9">
        <f t="shared" si="65"/>
        <v>217.76700000000002</v>
      </c>
      <c r="AE269" s="9">
        <f t="shared" si="66"/>
        <v>61.250999999999998</v>
      </c>
      <c r="AF269" s="9">
        <f t="shared" si="67"/>
        <v>279.01800000000003</v>
      </c>
      <c r="AG269" s="9"/>
      <c r="AH269" s="10">
        <v>35916</v>
      </c>
      <c r="AI269" s="9">
        <f t="shared" si="68"/>
        <v>126.04500000000002</v>
      </c>
      <c r="AJ269" s="9">
        <f t="shared" si="69"/>
        <v>59.998000000000005</v>
      </c>
      <c r="AK269" s="9">
        <f t="shared" si="70"/>
        <v>103.84</v>
      </c>
      <c r="AL269" s="9">
        <f t="shared" si="71"/>
        <v>-72.116000000000014</v>
      </c>
      <c r="AM269" s="12">
        <f t="shared" si="72"/>
        <v>152.97300000000001</v>
      </c>
    </row>
    <row r="270" spans="1:39" x14ac:dyDescent="0.25">
      <c r="A270">
        <v>99996</v>
      </c>
      <c r="B270" t="s">
        <v>257</v>
      </c>
      <c r="C270" s="13">
        <v>456258</v>
      </c>
      <c r="D270" s="13">
        <v>38153</v>
      </c>
      <c r="E270" s="13">
        <v>35287</v>
      </c>
      <c r="F270" s="13">
        <v>135701</v>
      </c>
      <c r="G270" s="13">
        <v>148806</v>
      </c>
      <c r="H270" s="13">
        <v>83250</v>
      </c>
      <c r="J270" s="13">
        <v>454701</v>
      </c>
      <c r="K270" s="13">
        <v>31361</v>
      </c>
      <c r="L270" s="13">
        <v>20705</v>
      </c>
      <c r="M270" s="13">
        <v>133855</v>
      </c>
      <c r="N270" s="13">
        <v>159901</v>
      </c>
      <c r="O270" s="13">
        <v>81809</v>
      </c>
      <c r="Q270" s="3">
        <f t="shared" si="73"/>
        <v>1.5569999999999999</v>
      </c>
      <c r="R270" s="3">
        <f t="shared" si="74"/>
        <v>6.7919999999999998</v>
      </c>
      <c r="S270" s="3">
        <f t="shared" si="75"/>
        <v>14.582000000000001</v>
      </c>
      <c r="T270" s="3">
        <f t="shared" si="76"/>
        <v>-11.095000000000001</v>
      </c>
      <c r="U270" s="3"/>
      <c r="V270" s="3">
        <f t="shared" si="77"/>
        <v>1.8460000000000001</v>
      </c>
      <c r="W270" s="3">
        <f t="shared" si="78"/>
        <v>1.4410000000000001</v>
      </c>
      <c r="Y270" s="3">
        <f t="shared" si="79"/>
        <v>11.836</v>
      </c>
      <c r="Z270" s="3">
        <f t="shared" si="80"/>
        <v>3.2869999999999999</v>
      </c>
      <c r="AA270" s="3">
        <f t="shared" si="81"/>
        <v>15.123000000000001</v>
      </c>
      <c r="AB270" s="3"/>
      <c r="AC270" s="2" t="str">
        <f t="shared" si="64"/>
        <v>1998-06</v>
      </c>
      <c r="AD270" s="9">
        <f t="shared" si="65"/>
        <v>209.29200000000003</v>
      </c>
      <c r="AE270" s="9">
        <f t="shared" si="66"/>
        <v>60.680999999999997</v>
      </c>
      <c r="AF270" s="9">
        <f t="shared" si="67"/>
        <v>269.97300000000001</v>
      </c>
      <c r="AG270" s="9"/>
      <c r="AH270" s="10">
        <v>35947</v>
      </c>
      <c r="AI270" s="9">
        <f t="shared" si="68"/>
        <v>105.10500000000002</v>
      </c>
      <c r="AJ270" s="9">
        <f t="shared" si="69"/>
        <v>64.933999999999997</v>
      </c>
      <c r="AK270" s="9">
        <f t="shared" si="70"/>
        <v>108.411</v>
      </c>
      <c r="AL270" s="9">
        <f t="shared" si="71"/>
        <v>-69.158000000000001</v>
      </c>
      <c r="AM270" s="12">
        <f t="shared" si="72"/>
        <v>164.86799999999999</v>
      </c>
    </row>
    <row r="271" spans="1:39" x14ac:dyDescent="0.25">
      <c r="A271">
        <v>99996</v>
      </c>
      <c r="B271" t="s">
        <v>258</v>
      </c>
      <c r="C271" s="13">
        <v>380965</v>
      </c>
      <c r="D271" s="13">
        <v>44021</v>
      </c>
      <c r="E271" s="13">
        <v>33366</v>
      </c>
      <c r="F271" s="13">
        <v>152834</v>
      </c>
      <c r="G271" s="13">
        <v>118921</v>
      </c>
      <c r="H271" s="13">
        <v>82415</v>
      </c>
      <c r="J271" s="13">
        <v>383152</v>
      </c>
      <c r="K271" s="13">
        <v>41766</v>
      </c>
      <c r="L271" s="13">
        <v>22712</v>
      </c>
      <c r="M271" s="13">
        <v>150317</v>
      </c>
      <c r="N271" s="13">
        <v>115840</v>
      </c>
      <c r="O271" s="13">
        <v>85922</v>
      </c>
      <c r="Q271" s="3">
        <f t="shared" si="73"/>
        <v>-2.1869999999999998</v>
      </c>
      <c r="R271" s="3">
        <f t="shared" si="74"/>
        <v>2.2549999999999999</v>
      </c>
      <c r="S271" s="3">
        <f t="shared" si="75"/>
        <v>10.654</v>
      </c>
      <c r="T271" s="3">
        <f t="shared" si="76"/>
        <v>3.081</v>
      </c>
      <c r="U271" s="3"/>
      <c r="V271" s="3">
        <f t="shared" si="77"/>
        <v>2.5169999999999999</v>
      </c>
      <c r="W271" s="3">
        <f t="shared" si="78"/>
        <v>-3.5070000000000001</v>
      </c>
      <c r="Y271" s="3">
        <f t="shared" si="79"/>
        <v>13.802999999999999</v>
      </c>
      <c r="Z271" s="3">
        <f t="shared" si="80"/>
        <v>-0.99000000000000021</v>
      </c>
      <c r="AA271" s="3">
        <f t="shared" si="81"/>
        <v>12.813000000000001</v>
      </c>
      <c r="AB271" s="3"/>
      <c r="AC271" s="2" t="str">
        <f t="shared" si="64"/>
        <v>1998-07</v>
      </c>
      <c r="AD271" s="9">
        <f t="shared" si="65"/>
        <v>214.75600000000003</v>
      </c>
      <c r="AE271" s="9">
        <f t="shared" si="66"/>
        <v>56.621999999999993</v>
      </c>
      <c r="AF271" s="9">
        <f t="shared" si="67"/>
        <v>271.37799999999999</v>
      </c>
      <c r="AG271" s="9"/>
      <c r="AH271" s="10">
        <v>35977</v>
      </c>
      <c r="AI271" s="9">
        <f t="shared" si="68"/>
        <v>99.923000000000016</v>
      </c>
      <c r="AJ271" s="9">
        <f t="shared" si="69"/>
        <v>61.375</v>
      </c>
      <c r="AK271" s="9">
        <f t="shared" si="70"/>
        <v>108.40600000000001</v>
      </c>
      <c r="AL271" s="9">
        <f t="shared" si="71"/>
        <v>-54.948</v>
      </c>
      <c r="AM271" s="12">
        <f t="shared" si="72"/>
        <v>171.45499999999998</v>
      </c>
    </row>
    <row r="272" spans="1:39" x14ac:dyDescent="0.25">
      <c r="A272">
        <v>99996</v>
      </c>
      <c r="B272" t="s">
        <v>259</v>
      </c>
      <c r="C272" s="13">
        <v>494430</v>
      </c>
      <c r="D272" s="13">
        <v>41459</v>
      </c>
      <c r="E272" s="13">
        <v>25083</v>
      </c>
      <c r="F272" s="13">
        <v>129477</v>
      </c>
      <c r="G272" s="13">
        <v>135075</v>
      </c>
      <c r="H272" s="13">
        <v>68228</v>
      </c>
      <c r="J272" s="13">
        <v>510181</v>
      </c>
      <c r="K272" s="13">
        <v>37842</v>
      </c>
      <c r="L272" s="13">
        <v>20585</v>
      </c>
      <c r="M272" s="13">
        <v>129537</v>
      </c>
      <c r="N272" s="13">
        <v>133789</v>
      </c>
      <c r="O272" s="13">
        <v>63847</v>
      </c>
      <c r="Q272" s="3">
        <f t="shared" si="73"/>
        <v>-15.750999999999999</v>
      </c>
      <c r="R272" s="3">
        <f t="shared" si="74"/>
        <v>3.617</v>
      </c>
      <c r="S272" s="3">
        <f t="shared" si="75"/>
        <v>4.4980000000000002</v>
      </c>
      <c r="T272" s="3">
        <f t="shared" si="76"/>
        <v>1.286</v>
      </c>
      <c r="U272" s="3"/>
      <c r="V272" s="3">
        <f t="shared" si="77"/>
        <v>-0.06</v>
      </c>
      <c r="W272" s="3">
        <f t="shared" si="78"/>
        <v>4.3810000000000002</v>
      </c>
      <c r="Y272" s="3">
        <f t="shared" si="79"/>
        <v>-6.35</v>
      </c>
      <c r="Z272" s="3">
        <f t="shared" si="80"/>
        <v>4.3210000000000006</v>
      </c>
      <c r="AA272" s="3">
        <f t="shared" si="81"/>
        <v>-2.028999999999999</v>
      </c>
      <c r="AB272" s="3"/>
      <c r="AC272" s="2" t="str">
        <f t="shared" si="64"/>
        <v>1998-08</v>
      </c>
      <c r="AD272" s="9">
        <f t="shared" si="65"/>
        <v>175.64000000000001</v>
      </c>
      <c r="AE272" s="9">
        <f t="shared" si="66"/>
        <v>61.310999999999993</v>
      </c>
      <c r="AF272" s="9">
        <f t="shared" si="67"/>
        <v>236.95099999999999</v>
      </c>
      <c r="AG272" s="9"/>
      <c r="AH272" s="10">
        <v>36008</v>
      </c>
      <c r="AI272" s="9">
        <f t="shared" si="68"/>
        <v>59.690000000000005</v>
      </c>
      <c r="AJ272" s="9">
        <f t="shared" si="69"/>
        <v>57.308999999999997</v>
      </c>
      <c r="AK272" s="9">
        <f t="shared" si="70"/>
        <v>106.47099999999999</v>
      </c>
      <c r="AL272" s="9">
        <f t="shared" si="71"/>
        <v>-47.83</v>
      </c>
      <c r="AM272" s="12">
        <f t="shared" si="72"/>
        <v>177.261</v>
      </c>
    </row>
    <row r="273" spans="1:39" x14ac:dyDescent="0.25">
      <c r="A273">
        <v>99996</v>
      </c>
      <c r="B273" t="s">
        <v>260</v>
      </c>
      <c r="C273" s="13">
        <v>554963</v>
      </c>
      <c r="D273" s="13">
        <v>64765</v>
      </c>
      <c r="E273" s="13">
        <v>35921</v>
      </c>
      <c r="F273" s="13">
        <v>137424</v>
      </c>
      <c r="G273" s="13">
        <v>152881</v>
      </c>
      <c r="H273" s="13">
        <v>89590</v>
      </c>
      <c r="J273" s="13">
        <v>560233</v>
      </c>
      <c r="K273" s="13">
        <v>64873</v>
      </c>
      <c r="L273" s="13">
        <v>27828</v>
      </c>
      <c r="M273" s="13">
        <v>147901</v>
      </c>
      <c r="N273" s="13">
        <v>149497</v>
      </c>
      <c r="O273" s="13">
        <v>83481</v>
      </c>
      <c r="Q273" s="3">
        <f t="shared" si="73"/>
        <v>-5.27</v>
      </c>
      <c r="R273" s="3">
        <f t="shared" si="74"/>
        <v>-0.108</v>
      </c>
      <c r="S273" s="3">
        <f t="shared" si="75"/>
        <v>8.093</v>
      </c>
      <c r="T273" s="3">
        <f t="shared" si="76"/>
        <v>3.3839999999999999</v>
      </c>
      <c r="U273" s="3"/>
      <c r="V273" s="3">
        <f t="shared" si="77"/>
        <v>-10.477</v>
      </c>
      <c r="W273" s="3">
        <f t="shared" si="78"/>
        <v>6.109</v>
      </c>
      <c r="Y273" s="3">
        <f t="shared" si="79"/>
        <v>6.0990000000000002</v>
      </c>
      <c r="Z273" s="3">
        <f t="shared" si="80"/>
        <v>-4.3680000000000003</v>
      </c>
      <c r="AA273" s="3">
        <f t="shared" si="81"/>
        <v>1.7309999999999999</v>
      </c>
      <c r="AB273" s="3"/>
      <c r="AC273" s="2" t="str">
        <f t="shared" si="64"/>
        <v>1998-09</v>
      </c>
      <c r="AD273" s="9">
        <f t="shared" si="65"/>
        <v>164.69600000000003</v>
      </c>
      <c r="AE273" s="9">
        <f t="shared" si="66"/>
        <v>46.698999999999991</v>
      </c>
      <c r="AF273" s="9">
        <f t="shared" si="67"/>
        <v>211.39499999999998</v>
      </c>
      <c r="AG273" s="9"/>
      <c r="AH273" s="10">
        <v>36039</v>
      </c>
      <c r="AI273" s="9">
        <f t="shared" si="68"/>
        <v>38.92</v>
      </c>
      <c r="AJ273" s="9">
        <f t="shared" si="69"/>
        <v>55.429000000000009</v>
      </c>
      <c r="AK273" s="9">
        <f t="shared" si="70"/>
        <v>107.16</v>
      </c>
      <c r="AL273" s="9">
        <f t="shared" si="71"/>
        <v>-36.812999999999995</v>
      </c>
      <c r="AM273" s="12">
        <f t="shared" si="72"/>
        <v>172.47499999999997</v>
      </c>
    </row>
    <row r="274" spans="1:39" x14ac:dyDescent="0.25">
      <c r="A274">
        <v>99996</v>
      </c>
      <c r="B274" t="s">
        <v>261</v>
      </c>
      <c r="C274" s="13">
        <v>531532</v>
      </c>
      <c r="D274" s="13">
        <v>77009</v>
      </c>
      <c r="E274" s="13">
        <v>31710</v>
      </c>
      <c r="F274" s="13">
        <v>145591</v>
      </c>
      <c r="G274" s="13">
        <v>102202</v>
      </c>
      <c r="H274" s="13">
        <v>90509</v>
      </c>
      <c r="J274" s="13">
        <v>533725</v>
      </c>
      <c r="K274" s="13">
        <v>82656</v>
      </c>
      <c r="L274" s="13">
        <v>22847</v>
      </c>
      <c r="M274" s="13">
        <v>142835</v>
      </c>
      <c r="N274" s="13">
        <v>86222</v>
      </c>
      <c r="O274" s="13">
        <v>82467</v>
      </c>
      <c r="Q274" s="3">
        <f t="shared" si="73"/>
        <v>-2.1930000000000001</v>
      </c>
      <c r="R274" s="3">
        <f t="shared" si="74"/>
        <v>-5.6470000000000002</v>
      </c>
      <c r="S274" s="3">
        <f t="shared" si="75"/>
        <v>8.8629999999999995</v>
      </c>
      <c r="T274" s="3">
        <f t="shared" si="76"/>
        <v>15.98</v>
      </c>
      <c r="U274" s="3"/>
      <c r="V274" s="3">
        <f t="shared" si="77"/>
        <v>2.7559999999999998</v>
      </c>
      <c r="W274" s="3">
        <f t="shared" si="78"/>
        <v>8.0419999999999998</v>
      </c>
      <c r="Y274" s="3">
        <f t="shared" si="79"/>
        <v>17.003</v>
      </c>
      <c r="Z274" s="3">
        <f t="shared" si="80"/>
        <v>10.798</v>
      </c>
      <c r="AA274" s="3">
        <f t="shared" si="81"/>
        <v>27.801000000000002</v>
      </c>
      <c r="AB274" s="3"/>
      <c r="AC274" s="2" t="str">
        <f t="shared" si="64"/>
        <v>1998-10</v>
      </c>
      <c r="AD274" s="9">
        <f t="shared" si="65"/>
        <v>151.77699999999999</v>
      </c>
      <c r="AE274" s="9">
        <f t="shared" si="66"/>
        <v>60.621999999999993</v>
      </c>
      <c r="AF274" s="9">
        <f t="shared" si="67"/>
        <v>212.39899999999994</v>
      </c>
      <c r="AG274" s="9"/>
      <c r="AH274" s="10">
        <v>36069</v>
      </c>
      <c r="AI274" s="9">
        <f t="shared" si="68"/>
        <v>19.545000000000009</v>
      </c>
      <c r="AJ274" s="9">
        <f t="shared" si="69"/>
        <v>41.907000000000004</v>
      </c>
      <c r="AK274" s="9">
        <f t="shared" si="70"/>
        <v>110.15100000000001</v>
      </c>
      <c r="AL274" s="9">
        <f t="shared" si="71"/>
        <v>-19.82599999999999</v>
      </c>
      <c r="AM274" s="12">
        <f t="shared" si="72"/>
        <v>192.85399999999993</v>
      </c>
    </row>
    <row r="275" spans="1:39" x14ac:dyDescent="0.25">
      <c r="A275">
        <v>99996</v>
      </c>
      <c r="B275" t="s">
        <v>262</v>
      </c>
      <c r="C275" s="13">
        <v>448427</v>
      </c>
      <c r="D275" s="13">
        <v>54512</v>
      </c>
      <c r="E275" s="13">
        <v>27245</v>
      </c>
      <c r="F275" s="13">
        <v>126268</v>
      </c>
      <c r="G275" s="13">
        <v>55542</v>
      </c>
      <c r="H275" s="13">
        <v>70048</v>
      </c>
      <c r="J275" s="13">
        <v>422971</v>
      </c>
      <c r="K275" s="13">
        <v>44857</v>
      </c>
      <c r="L275" s="13">
        <v>15547</v>
      </c>
      <c r="M275" s="13">
        <v>119169</v>
      </c>
      <c r="N275" s="13">
        <v>56459</v>
      </c>
      <c r="O275" s="13">
        <v>72792</v>
      </c>
      <c r="Q275" s="3">
        <f t="shared" si="73"/>
        <v>25.456</v>
      </c>
      <c r="R275" s="3">
        <f t="shared" si="74"/>
        <v>9.6549999999999994</v>
      </c>
      <c r="S275" s="3">
        <f t="shared" si="75"/>
        <v>11.698</v>
      </c>
      <c r="T275" s="3">
        <f t="shared" si="76"/>
        <v>-0.91700000000000004</v>
      </c>
      <c r="U275" s="3"/>
      <c r="V275" s="3">
        <f t="shared" si="77"/>
        <v>7.0990000000000002</v>
      </c>
      <c r="W275" s="3">
        <f t="shared" si="78"/>
        <v>-2.7440000000000002</v>
      </c>
      <c r="Y275" s="3">
        <f t="shared" si="79"/>
        <v>45.891999999999996</v>
      </c>
      <c r="Z275" s="3">
        <f t="shared" si="80"/>
        <v>4.3550000000000004</v>
      </c>
      <c r="AA275" s="3">
        <f t="shared" si="81"/>
        <v>50.247</v>
      </c>
      <c r="AB275" s="3"/>
      <c r="AC275" s="2" t="str">
        <f t="shared" si="64"/>
        <v>1998-11</v>
      </c>
      <c r="AD275" s="9">
        <f t="shared" si="65"/>
        <v>183.197</v>
      </c>
      <c r="AE275" s="9">
        <f t="shared" si="66"/>
        <v>57.797999999999988</v>
      </c>
      <c r="AF275" s="9">
        <f t="shared" si="67"/>
        <v>240.995</v>
      </c>
      <c r="AG275" s="9"/>
      <c r="AH275" s="10">
        <v>36100</v>
      </c>
      <c r="AI275" s="9">
        <f t="shared" si="68"/>
        <v>29.091999999999999</v>
      </c>
      <c r="AJ275" s="9">
        <f t="shared" si="69"/>
        <v>52.120000000000005</v>
      </c>
      <c r="AK275" s="9">
        <f t="shared" si="70"/>
        <v>117.86199999999999</v>
      </c>
      <c r="AL275" s="9">
        <f t="shared" si="71"/>
        <v>-15.876999999999997</v>
      </c>
      <c r="AM275" s="12">
        <f t="shared" si="72"/>
        <v>211.90300000000002</v>
      </c>
    </row>
    <row r="276" spans="1:39" x14ac:dyDescent="0.25">
      <c r="A276">
        <v>99996</v>
      </c>
      <c r="B276" t="s">
        <v>263</v>
      </c>
      <c r="C276" s="13">
        <v>290260</v>
      </c>
      <c r="D276" s="13">
        <v>33741</v>
      </c>
      <c r="E276" s="13">
        <v>25327</v>
      </c>
      <c r="F276" s="13">
        <v>139208</v>
      </c>
      <c r="G276" s="13">
        <v>56845</v>
      </c>
      <c r="H276" s="13">
        <v>69585</v>
      </c>
      <c r="J276" s="13">
        <v>279711</v>
      </c>
      <c r="K276" s="13">
        <v>26222</v>
      </c>
      <c r="L276" s="13">
        <v>15046</v>
      </c>
      <c r="M276" s="13">
        <v>134651</v>
      </c>
      <c r="N276" s="13">
        <v>61529</v>
      </c>
      <c r="O276" s="13">
        <v>68741</v>
      </c>
      <c r="Q276" s="3">
        <f t="shared" si="73"/>
        <v>10.548999999999999</v>
      </c>
      <c r="R276" s="3">
        <f t="shared" si="74"/>
        <v>7.5190000000000001</v>
      </c>
      <c r="S276" s="3">
        <f t="shared" si="75"/>
        <v>10.281000000000001</v>
      </c>
      <c r="T276" s="3">
        <f t="shared" si="76"/>
        <v>-4.6840000000000002</v>
      </c>
      <c r="U276" s="3"/>
      <c r="V276" s="3">
        <f t="shared" si="77"/>
        <v>4.5570000000000004</v>
      </c>
      <c r="W276" s="3">
        <f t="shared" si="78"/>
        <v>0.84399999999999997</v>
      </c>
      <c r="Y276" s="3">
        <f t="shared" si="79"/>
        <v>23.664999999999996</v>
      </c>
      <c r="Z276" s="3">
        <f t="shared" si="80"/>
        <v>5.4010000000000007</v>
      </c>
      <c r="AA276" s="3">
        <f t="shared" si="81"/>
        <v>29.065999999999995</v>
      </c>
      <c r="AB276" s="3"/>
      <c r="AC276" s="2" t="str">
        <f t="shared" si="64"/>
        <v>1998-12</v>
      </c>
      <c r="AD276" s="9">
        <f t="shared" si="65"/>
        <v>210.422</v>
      </c>
      <c r="AE276" s="9">
        <f t="shared" si="66"/>
        <v>56.232000000000006</v>
      </c>
      <c r="AF276" s="9">
        <f t="shared" si="67"/>
        <v>266.65399999999994</v>
      </c>
      <c r="AG276" s="9"/>
      <c r="AH276" s="10">
        <v>36130</v>
      </c>
      <c r="AI276" s="9">
        <f t="shared" si="68"/>
        <v>49.039000000000009</v>
      </c>
      <c r="AJ276" s="9">
        <f t="shared" si="69"/>
        <v>56.802000000000007</v>
      </c>
      <c r="AK276" s="9">
        <f t="shared" si="70"/>
        <v>121.93</v>
      </c>
      <c r="AL276" s="9">
        <f t="shared" si="71"/>
        <v>-17.348999999999993</v>
      </c>
      <c r="AM276" s="12">
        <f t="shared" si="72"/>
        <v>217.61499999999992</v>
      </c>
    </row>
    <row r="277" spans="1:39" x14ac:dyDescent="0.25">
      <c r="A277">
        <v>99996</v>
      </c>
      <c r="B277" t="s">
        <v>264</v>
      </c>
      <c r="C277" s="13">
        <v>378603</v>
      </c>
      <c r="D277" s="13">
        <v>45384</v>
      </c>
      <c r="E277" s="13">
        <v>23335</v>
      </c>
      <c r="F277" s="13">
        <v>156137</v>
      </c>
      <c r="G277" s="13">
        <v>56072</v>
      </c>
      <c r="H277" s="13">
        <v>77984</v>
      </c>
      <c r="J277" s="13">
        <v>381489</v>
      </c>
      <c r="K277" s="13">
        <v>36782</v>
      </c>
      <c r="L277" s="13">
        <v>17126</v>
      </c>
      <c r="M277" s="13">
        <v>152638</v>
      </c>
      <c r="N277" s="13">
        <v>58376</v>
      </c>
      <c r="O277" s="13">
        <v>74689</v>
      </c>
      <c r="Q277" s="3">
        <f t="shared" si="73"/>
        <v>-2.8860000000000001</v>
      </c>
      <c r="R277" s="3">
        <f t="shared" si="74"/>
        <v>8.6020000000000003</v>
      </c>
      <c r="S277" s="3">
        <f t="shared" si="75"/>
        <v>6.2089999999999996</v>
      </c>
      <c r="T277" s="3">
        <f t="shared" si="76"/>
        <v>-2.3039999999999998</v>
      </c>
      <c r="U277" s="3"/>
      <c r="V277" s="3">
        <f t="shared" si="77"/>
        <v>3.4990000000000001</v>
      </c>
      <c r="W277" s="3">
        <f t="shared" si="78"/>
        <v>3.2949999999999999</v>
      </c>
      <c r="Y277" s="3">
        <f t="shared" si="79"/>
        <v>9.6210000000000004</v>
      </c>
      <c r="Z277" s="3">
        <f t="shared" si="80"/>
        <v>6.7940000000000005</v>
      </c>
      <c r="AA277" s="3">
        <f t="shared" si="81"/>
        <v>16.414999999999999</v>
      </c>
      <c r="AB277" s="3"/>
      <c r="AC277" s="2" t="str">
        <f t="shared" si="64"/>
        <v>1999-01</v>
      </c>
      <c r="AD277" s="9">
        <f t="shared" si="65"/>
        <v>202.45499999999998</v>
      </c>
      <c r="AE277" s="9">
        <f t="shared" si="66"/>
        <v>55.781000000000006</v>
      </c>
      <c r="AF277" s="9">
        <f t="shared" si="67"/>
        <v>258.23599999999999</v>
      </c>
      <c r="AG277" s="9"/>
      <c r="AH277" s="10">
        <v>36161</v>
      </c>
      <c r="AI277" s="9">
        <f t="shared" si="68"/>
        <v>40.921999999999997</v>
      </c>
      <c r="AJ277" s="9">
        <f t="shared" si="69"/>
        <v>61.414000000000001</v>
      </c>
      <c r="AK277" s="9">
        <f t="shared" si="70"/>
        <v>119.67000000000002</v>
      </c>
      <c r="AL277" s="9">
        <f t="shared" si="71"/>
        <v>-19.550999999999995</v>
      </c>
      <c r="AM277" s="12">
        <f t="shared" si="72"/>
        <v>217.31399999999999</v>
      </c>
    </row>
    <row r="278" spans="1:39" x14ac:dyDescent="0.25">
      <c r="A278">
        <v>99996</v>
      </c>
      <c r="B278" t="s">
        <v>265</v>
      </c>
      <c r="C278" s="13">
        <v>405890</v>
      </c>
      <c r="D278" s="13">
        <v>42014</v>
      </c>
      <c r="E278" s="13">
        <v>33155</v>
      </c>
      <c r="F278" s="13">
        <v>159703</v>
      </c>
      <c r="G278" s="13">
        <v>66198</v>
      </c>
      <c r="H278" s="13">
        <v>74004</v>
      </c>
      <c r="J278" s="13">
        <v>420513</v>
      </c>
      <c r="K278" s="13">
        <v>38319</v>
      </c>
      <c r="L278" s="13">
        <v>17868</v>
      </c>
      <c r="M278" s="13">
        <v>155565</v>
      </c>
      <c r="N278" s="13">
        <v>66453</v>
      </c>
      <c r="O278" s="13">
        <v>70948</v>
      </c>
      <c r="Q278" s="3">
        <f t="shared" si="73"/>
        <v>-14.622999999999999</v>
      </c>
      <c r="R278" s="3">
        <f t="shared" si="74"/>
        <v>3.6949999999999998</v>
      </c>
      <c r="S278" s="3">
        <f t="shared" si="75"/>
        <v>15.287000000000001</v>
      </c>
      <c r="T278" s="3">
        <f t="shared" si="76"/>
        <v>-0.255</v>
      </c>
      <c r="U278" s="3"/>
      <c r="V278" s="3">
        <f t="shared" si="77"/>
        <v>4.1379999999999999</v>
      </c>
      <c r="W278" s="3">
        <f t="shared" si="78"/>
        <v>3.056</v>
      </c>
      <c r="Y278" s="3">
        <f t="shared" si="79"/>
        <v>4.1040000000000019</v>
      </c>
      <c r="Z278" s="3">
        <f t="shared" si="80"/>
        <v>7.194</v>
      </c>
      <c r="AA278" s="3">
        <f t="shared" si="81"/>
        <v>11.298000000000002</v>
      </c>
      <c r="AB278" s="3"/>
      <c r="AC278" s="2" t="str">
        <f t="shared" si="64"/>
        <v>1999-02</v>
      </c>
      <c r="AD278" s="9">
        <f t="shared" si="65"/>
        <v>184.92100000000002</v>
      </c>
      <c r="AE278" s="9">
        <f t="shared" si="66"/>
        <v>54.760000000000019</v>
      </c>
      <c r="AF278" s="9">
        <f t="shared" si="67"/>
        <v>239.68100000000004</v>
      </c>
      <c r="AG278" s="9"/>
      <c r="AH278" s="10">
        <v>36192</v>
      </c>
      <c r="AI278" s="9">
        <f t="shared" si="68"/>
        <v>16.555999999999997</v>
      </c>
      <c r="AJ278" s="9">
        <f t="shared" si="69"/>
        <v>56.973000000000006</v>
      </c>
      <c r="AK278" s="9">
        <f t="shared" si="70"/>
        <v>126.20500000000004</v>
      </c>
      <c r="AL278" s="9">
        <f t="shared" si="71"/>
        <v>-14.812999999999999</v>
      </c>
      <c r="AM278" s="12">
        <f t="shared" si="72"/>
        <v>223.12500000000006</v>
      </c>
    </row>
    <row r="279" spans="1:39" x14ac:dyDescent="0.25">
      <c r="A279">
        <v>99996</v>
      </c>
      <c r="B279" t="s">
        <v>266</v>
      </c>
      <c r="C279" s="13">
        <v>418560</v>
      </c>
      <c r="D279" s="13">
        <v>42645</v>
      </c>
      <c r="E279" s="13">
        <v>34543</v>
      </c>
      <c r="F279" s="13">
        <v>179803</v>
      </c>
      <c r="G279" s="13">
        <v>76129</v>
      </c>
      <c r="H279" s="13">
        <v>95302</v>
      </c>
      <c r="J279" s="13">
        <v>417028</v>
      </c>
      <c r="K279" s="13">
        <v>30831</v>
      </c>
      <c r="L279" s="13">
        <v>21500</v>
      </c>
      <c r="M279" s="13">
        <v>176841</v>
      </c>
      <c r="N279" s="13">
        <v>74419</v>
      </c>
      <c r="O279" s="13">
        <v>93519</v>
      </c>
      <c r="Q279" s="3">
        <f t="shared" si="73"/>
        <v>1.532</v>
      </c>
      <c r="R279" s="3">
        <f t="shared" si="74"/>
        <v>11.814</v>
      </c>
      <c r="S279" s="3">
        <f t="shared" si="75"/>
        <v>13.042999999999999</v>
      </c>
      <c r="T279" s="3">
        <f t="shared" si="76"/>
        <v>1.71</v>
      </c>
      <c r="U279" s="3"/>
      <c r="V279" s="3">
        <f t="shared" si="77"/>
        <v>2.9620000000000002</v>
      </c>
      <c r="W279" s="3">
        <f t="shared" si="78"/>
        <v>1.7829999999999999</v>
      </c>
      <c r="Y279" s="3">
        <f t="shared" si="79"/>
        <v>28.099</v>
      </c>
      <c r="Z279" s="3">
        <f t="shared" si="80"/>
        <v>4.7450000000000001</v>
      </c>
      <c r="AA279" s="3">
        <f t="shared" si="81"/>
        <v>32.844000000000001</v>
      </c>
      <c r="AB279" s="3"/>
      <c r="AC279" s="2" t="str">
        <f t="shared" si="64"/>
        <v>1999-03</v>
      </c>
      <c r="AD279" s="9">
        <f t="shared" si="65"/>
        <v>202.44700000000003</v>
      </c>
      <c r="AE279" s="9">
        <f t="shared" si="66"/>
        <v>47.975000000000001</v>
      </c>
      <c r="AF279" s="9">
        <f t="shared" si="67"/>
        <v>250.422</v>
      </c>
      <c r="AG279" s="9"/>
      <c r="AH279" s="10">
        <v>36220</v>
      </c>
      <c r="AI279" s="9">
        <f t="shared" si="68"/>
        <v>22.539999999999996</v>
      </c>
      <c r="AJ279" s="9">
        <f t="shared" si="69"/>
        <v>58.944000000000003</v>
      </c>
      <c r="AK279" s="9">
        <f t="shared" si="70"/>
        <v>129.52800000000002</v>
      </c>
      <c r="AL279" s="9">
        <f t="shared" si="71"/>
        <v>-8.5649999999999977</v>
      </c>
      <c r="AM279" s="12">
        <f t="shared" si="72"/>
        <v>227.88200000000001</v>
      </c>
    </row>
    <row r="280" spans="1:39" x14ac:dyDescent="0.25">
      <c r="A280">
        <v>99996</v>
      </c>
      <c r="B280" t="s">
        <v>267</v>
      </c>
      <c r="C280" s="13">
        <v>347181</v>
      </c>
      <c r="D280" s="13">
        <v>41749</v>
      </c>
      <c r="E280" s="13">
        <v>28295</v>
      </c>
      <c r="F280" s="13">
        <v>222903</v>
      </c>
      <c r="G280" s="13">
        <v>73376</v>
      </c>
      <c r="H280" s="13">
        <v>98607</v>
      </c>
      <c r="J280" s="13">
        <v>350452</v>
      </c>
      <c r="K280" s="13">
        <v>30486</v>
      </c>
      <c r="L280" s="13">
        <v>17030</v>
      </c>
      <c r="M280" s="13">
        <v>205311</v>
      </c>
      <c r="N280" s="13">
        <v>78523</v>
      </c>
      <c r="O280" s="13">
        <v>93104</v>
      </c>
      <c r="Q280" s="3">
        <f t="shared" si="73"/>
        <v>-3.2709999999999999</v>
      </c>
      <c r="R280" s="3">
        <f t="shared" si="74"/>
        <v>11.263</v>
      </c>
      <c r="S280" s="3">
        <f t="shared" si="75"/>
        <v>11.265000000000001</v>
      </c>
      <c r="T280" s="3">
        <f t="shared" si="76"/>
        <v>-5.1470000000000002</v>
      </c>
      <c r="U280" s="3"/>
      <c r="V280" s="3">
        <f t="shared" si="77"/>
        <v>17.591999999999999</v>
      </c>
      <c r="W280" s="3">
        <f t="shared" si="78"/>
        <v>5.5030000000000001</v>
      </c>
      <c r="Y280" s="3">
        <f t="shared" si="79"/>
        <v>14.110000000000001</v>
      </c>
      <c r="Z280" s="3">
        <f t="shared" si="80"/>
        <v>23.094999999999999</v>
      </c>
      <c r="AA280" s="3">
        <f t="shared" si="81"/>
        <v>37.204999999999998</v>
      </c>
      <c r="AB280" s="3"/>
      <c r="AC280" s="2" t="str">
        <f t="shared" ref="AC280:AC343" si="82">B280</f>
        <v>1999-04</v>
      </c>
      <c r="AD280" s="9">
        <f t="shared" ref="AD280:AD343" si="83">SUM(Y269:Y280)</f>
        <v>198.96100000000001</v>
      </c>
      <c r="AE280" s="9">
        <f t="shared" ref="AE280:AE343" si="84">SUM(Z269:Z280)</f>
        <v>69.647999999999996</v>
      </c>
      <c r="AF280" s="9">
        <f t="shared" ref="AF280:AF343" si="85">SUM(AA269:AA280)</f>
        <v>268.60899999999998</v>
      </c>
      <c r="AG280" s="9"/>
      <c r="AH280" s="10">
        <v>36251</v>
      </c>
      <c r="AI280" s="9">
        <f t="shared" ref="AI280:AI343" si="86">SUM(Q269:Q280)</f>
        <v>14.407999999999998</v>
      </c>
      <c r="AJ280" s="9">
        <f t="shared" ref="AJ280:AJ343" si="87">SUM(R269:R280)</f>
        <v>62.591000000000001</v>
      </c>
      <c r="AK280" s="9">
        <f t="shared" ref="AK280:AK343" si="88">SUM(S269:S280)</f>
        <v>123.59700000000002</v>
      </c>
      <c r="AL280" s="9">
        <f t="shared" ref="AL280:AL343" si="89">SUM(T269:T280)</f>
        <v>-1.6350000000000002</v>
      </c>
      <c r="AM280" s="12">
        <f t="shared" ref="AM280:AM343" si="90">AF280-AI280</f>
        <v>254.20099999999999</v>
      </c>
    </row>
    <row r="281" spans="1:39" x14ac:dyDescent="0.25">
      <c r="A281">
        <v>99996</v>
      </c>
      <c r="B281" t="s">
        <v>268</v>
      </c>
      <c r="C281" s="13">
        <v>397876</v>
      </c>
      <c r="D281" s="13">
        <v>36732</v>
      </c>
      <c r="E281" s="13">
        <v>29826</v>
      </c>
      <c r="F281" s="13">
        <v>185647</v>
      </c>
      <c r="G281" s="13">
        <v>72372</v>
      </c>
      <c r="H281" s="13">
        <v>86345</v>
      </c>
      <c r="J281" s="13">
        <v>392238</v>
      </c>
      <c r="K281" s="13">
        <v>30170</v>
      </c>
      <c r="L281" s="13">
        <v>18975</v>
      </c>
      <c r="M281" s="13">
        <v>177130</v>
      </c>
      <c r="N281" s="13">
        <v>72871</v>
      </c>
      <c r="O281" s="13">
        <v>83890</v>
      </c>
      <c r="Q281" s="3">
        <f t="shared" si="73"/>
        <v>5.6379999999999999</v>
      </c>
      <c r="R281" s="3">
        <f t="shared" si="74"/>
        <v>6.5620000000000003</v>
      </c>
      <c r="S281" s="3">
        <f t="shared" si="75"/>
        <v>10.851000000000001</v>
      </c>
      <c r="T281" s="3">
        <f t="shared" si="76"/>
        <v>-0.499</v>
      </c>
      <c r="U281" s="3"/>
      <c r="V281" s="3">
        <f t="shared" si="77"/>
        <v>8.5169999999999995</v>
      </c>
      <c r="W281" s="3">
        <f t="shared" si="78"/>
        <v>2.4550000000000001</v>
      </c>
      <c r="Y281" s="3">
        <f t="shared" si="79"/>
        <v>22.552000000000003</v>
      </c>
      <c r="Z281" s="3">
        <f t="shared" si="80"/>
        <v>10.972</v>
      </c>
      <c r="AA281" s="3">
        <f t="shared" si="81"/>
        <v>33.524000000000001</v>
      </c>
      <c r="AB281" s="3"/>
      <c r="AC281" s="2" t="str">
        <f t="shared" si="82"/>
        <v>1999-05</v>
      </c>
      <c r="AD281" s="9">
        <f t="shared" si="83"/>
        <v>190.434</v>
      </c>
      <c r="AE281" s="9">
        <f t="shared" si="84"/>
        <v>75.603999999999999</v>
      </c>
      <c r="AF281" s="9">
        <f t="shared" si="85"/>
        <v>266.03800000000001</v>
      </c>
      <c r="AG281" s="9"/>
      <c r="AH281" s="10">
        <v>36281</v>
      </c>
      <c r="AI281" s="9">
        <f t="shared" si="86"/>
        <v>-1.4490000000000007</v>
      </c>
      <c r="AJ281" s="9">
        <f t="shared" si="87"/>
        <v>66.019000000000005</v>
      </c>
      <c r="AK281" s="9">
        <f t="shared" si="88"/>
        <v>125.324</v>
      </c>
      <c r="AL281" s="9">
        <f t="shared" si="89"/>
        <v>0.5399999999999997</v>
      </c>
      <c r="AM281" s="12">
        <f t="shared" si="90"/>
        <v>267.48700000000002</v>
      </c>
    </row>
    <row r="282" spans="1:39" x14ac:dyDescent="0.25">
      <c r="A282">
        <v>99996</v>
      </c>
      <c r="B282" t="s">
        <v>269</v>
      </c>
      <c r="C282" s="13">
        <v>378389</v>
      </c>
      <c r="D282" s="13">
        <v>41299</v>
      </c>
      <c r="E282" s="13">
        <v>26961</v>
      </c>
      <c r="F282" s="13">
        <v>179791</v>
      </c>
      <c r="G282" s="13">
        <v>79013</v>
      </c>
      <c r="H282" s="13">
        <v>97622</v>
      </c>
      <c r="J282" s="13">
        <v>378998</v>
      </c>
      <c r="K282" s="13">
        <v>36271</v>
      </c>
      <c r="L282" s="13">
        <v>15926</v>
      </c>
      <c r="M282" s="13">
        <v>167885</v>
      </c>
      <c r="N282" s="13">
        <v>70168</v>
      </c>
      <c r="O282" s="13">
        <v>91402</v>
      </c>
      <c r="Q282" s="3">
        <f t="shared" si="73"/>
        <v>-0.60899999999999999</v>
      </c>
      <c r="R282" s="3">
        <f t="shared" si="74"/>
        <v>5.0279999999999996</v>
      </c>
      <c r="S282" s="3">
        <f t="shared" si="75"/>
        <v>11.035</v>
      </c>
      <c r="T282" s="3">
        <f t="shared" si="76"/>
        <v>8.8450000000000006</v>
      </c>
      <c r="U282" s="3"/>
      <c r="V282" s="3">
        <f t="shared" si="77"/>
        <v>11.906000000000001</v>
      </c>
      <c r="W282" s="3">
        <f t="shared" si="78"/>
        <v>6.22</v>
      </c>
      <c r="Y282" s="3">
        <f t="shared" si="79"/>
        <v>24.298999999999999</v>
      </c>
      <c r="Z282" s="3">
        <f t="shared" si="80"/>
        <v>18.126000000000001</v>
      </c>
      <c r="AA282" s="3">
        <f t="shared" si="81"/>
        <v>42.424999999999997</v>
      </c>
      <c r="AB282" s="3"/>
      <c r="AC282" s="2" t="str">
        <f t="shared" si="82"/>
        <v>1999-06</v>
      </c>
      <c r="AD282" s="9">
        <f t="shared" si="83"/>
        <v>202.89699999999999</v>
      </c>
      <c r="AE282" s="9">
        <f t="shared" si="84"/>
        <v>90.442999999999998</v>
      </c>
      <c r="AF282" s="9">
        <f t="shared" si="85"/>
        <v>293.33999999999997</v>
      </c>
      <c r="AG282" s="9"/>
      <c r="AH282" s="10">
        <v>36312</v>
      </c>
      <c r="AI282" s="9">
        <f t="shared" si="86"/>
        <v>-3.6150000000000002</v>
      </c>
      <c r="AJ282" s="9">
        <f t="shared" si="87"/>
        <v>64.254999999999995</v>
      </c>
      <c r="AK282" s="9">
        <f t="shared" si="88"/>
        <v>121.777</v>
      </c>
      <c r="AL282" s="9">
        <f t="shared" si="89"/>
        <v>20.479999999999997</v>
      </c>
      <c r="AM282" s="12">
        <f t="shared" si="90"/>
        <v>296.95499999999998</v>
      </c>
    </row>
    <row r="283" spans="1:39" x14ac:dyDescent="0.25">
      <c r="A283">
        <v>99996</v>
      </c>
      <c r="B283" t="s">
        <v>270</v>
      </c>
      <c r="C283" s="13">
        <v>335265</v>
      </c>
      <c r="D283" s="13">
        <v>39295</v>
      </c>
      <c r="E283" s="13">
        <v>37132</v>
      </c>
      <c r="F283" s="13">
        <v>187705</v>
      </c>
      <c r="G283" s="13">
        <v>63975</v>
      </c>
      <c r="H283" s="13">
        <v>106244</v>
      </c>
      <c r="J283" s="13">
        <v>341501</v>
      </c>
      <c r="K283" s="13">
        <v>31792</v>
      </c>
      <c r="L283" s="13">
        <v>16190</v>
      </c>
      <c r="M283" s="13">
        <v>179386</v>
      </c>
      <c r="N283" s="13">
        <v>68752</v>
      </c>
      <c r="O283" s="13">
        <v>108442</v>
      </c>
      <c r="Q283" s="3">
        <f t="shared" si="73"/>
        <v>-6.2359999999999998</v>
      </c>
      <c r="R283" s="3">
        <f t="shared" si="74"/>
        <v>7.5030000000000001</v>
      </c>
      <c r="S283" s="3">
        <f t="shared" si="75"/>
        <v>20.942</v>
      </c>
      <c r="T283" s="3">
        <f t="shared" si="76"/>
        <v>-4.7770000000000001</v>
      </c>
      <c r="U283" s="3"/>
      <c r="V283" s="3">
        <f t="shared" si="77"/>
        <v>8.3190000000000008</v>
      </c>
      <c r="W283" s="3">
        <f t="shared" si="78"/>
        <v>-2.198</v>
      </c>
      <c r="Y283" s="3">
        <f t="shared" si="79"/>
        <v>17.431999999999999</v>
      </c>
      <c r="Z283" s="3">
        <f t="shared" si="80"/>
        <v>6.1210000000000004</v>
      </c>
      <c r="AA283" s="3">
        <f t="shared" si="81"/>
        <v>23.552999999999997</v>
      </c>
      <c r="AB283" s="3"/>
      <c r="AC283" s="2" t="str">
        <f t="shared" si="82"/>
        <v>1999-07</v>
      </c>
      <c r="AD283" s="9">
        <f t="shared" si="83"/>
        <v>206.52599999999998</v>
      </c>
      <c r="AE283" s="9">
        <f t="shared" si="84"/>
        <v>97.554000000000002</v>
      </c>
      <c r="AF283" s="9">
        <f t="shared" si="85"/>
        <v>304.08</v>
      </c>
      <c r="AG283" s="9"/>
      <c r="AH283" s="10">
        <v>36342</v>
      </c>
      <c r="AI283" s="9">
        <f t="shared" si="86"/>
        <v>-7.6640000000000015</v>
      </c>
      <c r="AJ283" s="9">
        <f t="shared" si="87"/>
        <v>69.502999999999986</v>
      </c>
      <c r="AK283" s="9">
        <f t="shared" si="88"/>
        <v>132.065</v>
      </c>
      <c r="AL283" s="9">
        <f t="shared" si="89"/>
        <v>12.621999999999993</v>
      </c>
      <c r="AM283" s="12">
        <f t="shared" si="90"/>
        <v>311.74399999999997</v>
      </c>
    </row>
    <row r="284" spans="1:39" x14ac:dyDescent="0.25">
      <c r="A284">
        <v>99996</v>
      </c>
      <c r="B284" t="s">
        <v>271</v>
      </c>
      <c r="C284" s="13">
        <v>398104</v>
      </c>
      <c r="D284" s="13">
        <v>39952</v>
      </c>
      <c r="E284" s="13">
        <v>25055</v>
      </c>
      <c r="F284" s="13">
        <v>178051</v>
      </c>
      <c r="G284" s="13">
        <v>70061</v>
      </c>
      <c r="H284" s="13">
        <v>91801</v>
      </c>
      <c r="J284" s="13">
        <v>378986</v>
      </c>
      <c r="K284" s="13">
        <v>34432</v>
      </c>
      <c r="L284" s="13">
        <v>12229</v>
      </c>
      <c r="M284" s="13">
        <v>165889</v>
      </c>
      <c r="N284" s="13">
        <v>76482</v>
      </c>
      <c r="O284" s="13">
        <v>91203</v>
      </c>
      <c r="Q284" s="3">
        <f t="shared" si="73"/>
        <v>19.117999999999999</v>
      </c>
      <c r="R284" s="3">
        <f t="shared" si="74"/>
        <v>5.52</v>
      </c>
      <c r="S284" s="3">
        <f t="shared" si="75"/>
        <v>12.826000000000001</v>
      </c>
      <c r="T284" s="3">
        <f t="shared" si="76"/>
        <v>-6.4210000000000003</v>
      </c>
      <c r="U284" s="3"/>
      <c r="V284" s="3">
        <f t="shared" si="77"/>
        <v>12.162000000000001</v>
      </c>
      <c r="W284" s="3">
        <f t="shared" si="78"/>
        <v>0.59799999999999998</v>
      </c>
      <c r="Y284" s="3">
        <f t="shared" si="79"/>
        <v>31.042999999999999</v>
      </c>
      <c r="Z284" s="3">
        <f t="shared" si="80"/>
        <v>12.760000000000002</v>
      </c>
      <c r="AA284" s="3">
        <f t="shared" si="81"/>
        <v>43.802999999999997</v>
      </c>
      <c r="AB284" s="3"/>
      <c r="AC284" s="2" t="str">
        <f t="shared" si="82"/>
        <v>1999-08</v>
      </c>
      <c r="AD284" s="9">
        <f t="shared" si="83"/>
        <v>243.91899999999998</v>
      </c>
      <c r="AE284" s="9">
        <f t="shared" si="84"/>
        <v>105.99299999999999</v>
      </c>
      <c r="AF284" s="9">
        <f t="shared" si="85"/>
        <v>349.91199999999998</v>
      </c>
      <c r="AG284" s="9"/>
      <c r="AH284" s="10">
        <v>36373</v>
      </c>
      <c r="AI284" s="9">
        <f t="shared" si="86"/>
        <v>27.205000000000002</v>
      </c>
      <c r="AJ284" s="9">
        <f t="shared" si="87"/>
        <v>71.405999999999992</v>
      </c>
      <c r="AK284" s="9">
        <f t="shared" si="88"/>
        <v>140.393</v>
      </c>
      <c r="AL284" s="9">
        <f t="shared" si="89"/>
        <v>4.9149999999999983</v>
      </c>
      <c r="AM284" s="12">
        <f t="shared" si="90"/>
        <v>322.70699999999999</v>
      </c>
    </row>
    <row r="285" spans="1:39" x14ac:dyDescent="0.25">
      <c r="A285">
        <v>99996</v>
      </c>
      <c r="B285" t="s">
        <v>272</v>
      </c>
      <c r="C285" s="13">
        <v>318692</v>
      </c>
      <c r="D285" s="13">
        <v>43599</v>
      </c>
      <c r="E285" s="13">
        <v>32490</v>
      </c>
      <c r="F285" s="13">
        <v>175193</v>
      </c>
      <c r="G285" s="13">
        <v>66661</v>
      </c>
      <c r="H285" s="13">
        <v>97384</v>
      </c>
      <c r="J285" s="13">
        <v>318602</v>
      </c>
      <c r="K285" s="13">
        <v>33707</v>
      </c>
      <c r="L285" s="13">
        <v>15193</v>
      </c>
      <c r="M285" s="13">
        <v>171908</v>
      </c>
      <c r="N285" s="13">
        <v>65529</v>
      </c>
      <c r="O285" s="13">
        <v>96559</v>
      </c>
      <c r="Q285" s="3">
        <f t="shared" si="73"/>
        <v>0.09</v>
      </c>
      <c r="R285" s="3">
        <f t="shared" si="74"/>
        <v>9.8919999999999995</v>
      </c>
      <c r="S285" s="3">
        <f t="shared" si="75"/>
        <v>17.297000000000001</v>
      </c>
      <c r="T285" s="3">
        <f t="shared" si="76"/>
        <v>1.1319999999999999</v>
      </c>
      <c r="U285" s="3"/>
      <c r="V285" s="3">
        <f t="shared" si="77"/>
        <v>3.2850000000000001</v>
      </c>
      <c r="W285" s="3">
        <f t="shared" si="78"/>
        <v>0.82499999999999996</v>
      </c>
      <c r="Y285" s="3">
        <f t="shared" si="79"/>
        <v>28.411000000000001</v>
      </c>
      <c r="Z285" s="3">
        <f t="shared" si="80"/>
        <v>4.1100000000000003</v>
      </c>
      <c r="AA285" s="3">
        <f t="shared" si="81"/>
        <v>32.521000000000001</v>
      </c>
      <c r="AB285" s="3"/>
      <c r="AC285" s="2" t="str">
        <f t="shared" si="82"/>
        <v>1999-09</v>
      </c>
      <c r="AD285" s="9">
        <f t="shared" si="83"/>
        <v>266.23099999999999</v>
      </c>
      <c r="AE285" s="9">
        <f t="shared" si="84"/>
        <v>114.471</v>
      </c>
      <c r="AF285" s="9">
        <f t="shared" si="85"/>
        <v>380.702</v>
      </c>
      <c r="AG285" s="9"/>
      <c r="AH285" s="10">
        <v>36404</v>
      </c>
      <c r="AI285" s="9">
        <f t="shared" si="86"/>
        <v>32.564999999999998</v>
      </c>
      <c r="AJ285" s="9">
        <f t="shared" si="87"/>
        <v>81.405999999999992</v>
      </c>
      <c r="AK285" s="9">
        <f t="shared" si="88"/>
        <v>149.59699999999998</v>
      </c>
      <c r="AL285" s="9">
        <f t="shared" si="89"/>
        <v>2.6630000000000003</v>
      </c>
      <c r="AM285" s="12">
        <f t="shared" si="90"/>
        <v>348.137</v>
      </c>
    </row>
    <row r="286" spans="1:39" x14ac:dyDescent="0.25">
      <c r="A286">
        <v>99996</v>
      </c>
      <c r="B286" t="s">
        <v>273</v>
      </c>
      <c r="C286" s="13">
        <v>305910</v>
      </c>
      <c r="D286" s="13">
        <v>48080</v>
      </c>
      <c r="E286" s="13">
        <v>32446</v>
      </c>
      <c r="F286" s="13">
        <v>218983</v>
      </c>
      <c r="G286" s="13">
        <v>62533</v>
      </c>
      <c r="H286" s="13">
        <v>96523</v>
      </c>
      <c r="J286" s="13">
        <v>315643</v>
      </c>
      <c r="K286" s="13">
        <v>38810</v>
      </c>
      <c r="L286" s="13">
        <v>16310</v>
      </c>
      <c r="M286" s="13">
        <v>211213</v>
      </c>
      <c r="N286" s="13">
        <v>63853</v>
      </c>
      <c r="O286" s="13">
        <v>104729</v>
      </c>
      <c r="Q286" s="3">
        <f t="shared" si="73"/>
        <v>-9.7330000000000005</v>
      </c>
      <c r="R286" s="3">
        <f t="shared" si="74"/>
        <v>9.27</v>
      </c>
      <c r="S286" s="3">
        <f t="shared" si="75"/>
        <v>16.135999999999999</v>
      </c>
      <c r="T286" s="3">
        <f t="shared" si="76"/>
        <v>-1.32</v>
      </c>
      <c r="U286" s="3"/>
      <c r="V286" s="3">
        <f t="shared" si="77"/>
        <v>7.77</v>
      </c>
      <c r="W286" s="3">
        <f t="shared" si="78"/>
        <v>-8.2059999999999995</v>
      </c>
      <c r="Y286" s="3">
        <f t="shared" si="79"/>
        <v>14.352999999999998</v>
      </c>
      <c r="Z286" s="3">
        <f t="shared" si="80"/>
        <v>-0.43599999999999994</v>
      </c>
      <c r="AA286" s="3">
        <f t="shared" si="81"/>
        <v>13.916999999999998</v>
      </c>
      <c r="AB286" s="3"/>
      <c r="AC286" s="2" t="str">
        <f t="shared" si="82"/>
        <v>1999-10</v>
      </c>
      <c r="AD286" s="9">
        <f t="shared" si="83"/>
        <v>263.58099999999996</v>
      </c>
      <c r="AE286" s="9">
        <f t="shared" si="84"/>
        <v>103.23699999999999</v>
      </c>
      <c r="AF286" s="9">
        <f t="shared" si="85"/>
        <v>366.81799999999998</v>
      </c>
      <c r="AG286" s="9"/>
      <c r="AH286" s="10">
        <v>36434</v>
      </c>
      <c r="AI286" s="9">
        <f t="shared" si="86"/>
        <v>25.024999999999995</v>
      </c>
      <c r="AJ286" s="9">
        <f t="shared" si="87"/>
        <v>96.322999999999979</v>
      </c>
      <c r="AK286" s="9">
        <f t="shared" si="88"/>
        <v>156.86999999999998</v>
      </c>
      <c r="AL286" s="9">
        <f t="shared" si="89"/>
        <v>-14.637000000000002</v>
      </c>
      <c r="AM286" s="12">
        <f t="shared" si="90"/>
        <v>341.79300000000001</v>
      </c>
    </row>
    <row r="287" spans="1:39" x14ac:dyDescent="0.25">
      <c r="A287">
        <v>99996</v>
      </c>
      <c r="B287" t="s">
        <v>274</v>
      </c>
      <c r="C287" s="13">
        <v>358756</v>
      </c>
      <c r="D287" s="13">
        <v>40178</v>
      </c>
      <c r="E287" s="13">
        <v>33796</v>
      </c>
      <c r="F287" s="13">
        <v>240329</v>
      </c>
      <c r="G287" s="13">
        <v>59650</v>
      </c>
      <c r="H287" s="13">
        <v>129534</v>
      </c>
      <c r="J287" s="13">
        <v>362371</v>
      </c>
      <c r="K287" s="13">
        <v>32182</v>
      </c>
      <c r="L287" s="13">
        <v>18650</v>
      </c>
      <c r="M287" s="13">
        <v>221911</v>
      </c>
      <c r="N287" s="13">
        <v>60162</v>
      </c>
      <c r="O287" s="13">
        <v>125718</v>
      </c>
      <c r="Q287" s="3">
        <f t="shared" si="73"/>
        <v>-3.6150000000000002</v>
      </c>
      <c r="R287" s="3">
        <f t="shared" si="74"/>
        <v>7.9960000000000004</v>
      </c>
      <c r="S287" s="3">
        <f t="shared" si="75"/>
        <v>15.146000000000001</v>
      </c>
      <c r="T287" s="3">
        <f t="shared" si="76"/>
        <v>-0.51200000000000001</v>
      </c>
      <c r="U287" s="3"/>
      <c r="V287" s="3">
        <f t="shared" si="77"/>
        <v>18.417999999999999</v>
      </c>
      <c r="W287" s="3">
        <f t="shared" si="78"/>
        <v>3.8159999999999998</v>
      </c>
      <c r="Y287" s="3">
        <f t="shared" si="79"/>
        <v>19.015000000000001</v>
      </c>
      <c r="Z287" s="3">
        <f t="shared" si="80"/>
        <v>22.233999999999998</v>
      </c>
      <c r="AA287" s="3">
        <f t="shared" si="81"/>
        <v>41.249000000000002</v>
      </c>
      <c r="AB287" s="3"/>
      <c r="AC287" s="2" t="str">
        <f t="shared" si="82"/>
        <v>1999-11</v>
      </c>
      <c r="AD287" s="9">
        <f t="shared" si="83"/>
        <v>236.70400000000001</v>
      </c>
      <c r="AE287" s="9">
        <f t="shared" si="84"/>
        <v>121.116</v>
      </c>
      <c r="AF287" s="9">
        <f t="shared" si="85"/>
        <v>357.82</v>
      </c>
      <c r="AG287" s="9"/>
      <c r="AH287" s="10">
        <v>36465</v>
      </c>
      <c r="AI287" s="9">
        <f t="shared" si="86"/>
        <v>-4.0460000000000012</v>
      </c>
      <c r="AJ287" s="9">
        <f t="shared" si="87"/>
        <v>94.663999999999987</v>
      </c>
      <c r="AK287" s="9">
        <f t="shared" si="88"/>
        <v>160.31799999999998</v>
      </c>
      <c r="AL287" s="9">
        <f t="shared" si="89"/>
        <v>-14.232000000000001</v>
      </c>
      <c r="AM287" s="12">
        <f t="shared" si="90"/>
        <v>361.86599999999999</v>
      </c>
    </row>
    <row r="288" spans="1:39" x14ac:dyDescent="0.25">
      <c r="A288">
        <v>99996</v>
      </c>
      <c r="B288" t="s">
        <v>275</v>
      </c>
      <c r="C288" s="13">
        <v>244912</v>
      </c>
      <c r="D288" s="13">
        <v>25073</v>
      </c>
      <c r="E288" s="13">
        <v>31658</v>
      </c>
      <c r="F288" s="13">
        <v>256414</v>
      </c>
      <c r="G288" s="13">
        <v>52227</v>
      </c>
      <c r="H288" s="13">
        <v>125953</v>
      </c>
      <c r="J288" s="13">
        <v>240270</v>
      </c>
      <c r="K288" s="13">
        <v>20018</v>
      </c>
      <c r="L288" s="13">
        <v>21303</v>
      </c>
      <c r="M288" s="13">
        <v>247460</v>
      </c>
      <c r="N288" s="13">
        <v>48355</v>
      </c>
      <c r="O288" s="13">
        <v>127460</v>
      </c>
      <c r="Q288" s="3">
        <f t="shared" si="73"/>
        <v>4.6420000000000003</v>
      </c>
      <c r="R288" s="3">
        <f t="shared" si="74"/>
        <v>5.0549999999999997</v>
      </c>
      <c r="S288" s="3">
        <f t="shared" si="75"/>
        <v>10.355</v>
      </c>
      <c r="T288" s="3">
        <f t="shared" si="76"/>
        <v>3.8719999999999999</v>
      </c>
      <c r="U288" s="3"/>
      <c r="V288" s="3">
        <f t="shared" si="77"/>
        <v>8.9540000000000006</v>
      </c>
      <c r="W288" s="3">
        <f t="shared" si="78"/>
        <v>-1.5069999999999999</v>
      </c>
      <c r="Y288" s="3">
        <f t="shared" si="79"/>
        <v>23.923999999999999</v>
      </c>
      <c r="Z288" s="3">
        <f t="shared" si="80"/>
        <v>7.447000000000001</v>
      </c>
      <c r="AA288" s="3">
        <f t="shared" si="81"/>
        <v>31.370999999999999</v>
      </c>
      <c r="AB288" s="3"/>
      <c r="AC288" s="2" t="str">
        <f t="shared" si="82"/>
        <v>1999-12</v>
      </c>
      <c r="AD288" s="9">
        <f t="shared" si="83"/>
        <v>236.96299999999999</v>
      </c>
      <c r="AE288" s="9">
        <f t="shared" si="84"/>
        <v>123.16199999999999</v>
      </c>
      <c r="AF288" s="9">
        <f t="shared" si="85"/>
        <v>360.125</v>
      </c>
      <c r="AG288" s="9"/>
      <c r="AH288" s="10">
        <v>36495</v>
      </c>
      <c r="AI288" s="9">
        <f t="shared" si="86"/>
        <v>-9.953000000000003</v>
      </c>
      <c r="AJ288" s="9">
        <f t="shared" si="87"/>
        <v>92.199999999999989</v>
      </c>
      <c r="AK288" s="9">
        <f t="shared" si="88"/>
        <v>160.39199999999997</v>
      </c>
      <c r="AL288" s="9">
        <f t="shared" si="89"/>
        <v>-5.6760000000000002</v>
      </c>
      <c r="AM288" s="12">
        <f t="shared" si="90"/>
        <v>370.07799999999997</v>
      </c>
    </row>
    <row r="289" spans="1:42" x14ac:dyDescent="0.25">
      <c r="A289">
        <v>99996</v>
      </c>
      <c r="B289" t="s">
        <v>276</v>
      </c>
      <c r="C289" s="13">
        <v>342747</v>
      </c>
      <c r="D289" s="13">
        <v>45483</v>
      </c>
      <c r="E289" s="13">
        <v>33660</v>
      </c>
      <c r="F289" s="13">
        <v>263946</v>
      </c>
      <c r="G289" s="13">
        <v>62186</v>
      </c>
      <c r="H289" s="13">
        <v>134494</v>
      </c>
      <c r="J289" s="13">
        <v>333176</v>
      </c>
      <c r="K289" s="13">
        <v>39819</v>
      </c>
      <c r="L289" s="13">
        <v>19147</v>
      </c>
      <c r="M289" s="13">
        <v>253365</v>
      </c>
      <c r="N289" s="13">
        <v>65684</v>
      </c>
      <c r="O289" s="13">
        <v>133411</v>
      </c>
      <c r="Q289" s="3">
        <f t="shared" si="73"/>
        <v>9.5709999999999997</v>
      </c>
      <c r="R289" s="3">
        <f t="shared" si="74"/>
        <v>5.6639999999999997</v>
      </c>
      <c r="S289" s="3">
        <f t="shared" si="75"/>
        <v>14.513</v>
      </c>
      <c r="T289" s="3">
        <f t="shared" si="76"/>
        <v>-3.4980000000000002</v>
      </c>
      <c r="U289" s="3"/>
      <c r="V289" s="3">
        <f t="shared" si="77"/>
        <v>10.581</v>
      </c>
      <c r="W289" s="3">
        <f t="shared" si="78"/>
        <v>1.083</v>
      </c>
      <c r="Y289" s="3">
        <f t="shared" si="79"/>
        <v>26.249999999999996</v>
      </c>
      <c r="Z289" s="3">
        <f t="shared" si="80"/>
        <v>11.664</v>
      </c>
      <c r="AA289" s="3">
        <f t="shared" si="81"/>
        <v>37.913999999999994</v>
      </c>
      <c r="AB289" s="3"/>
      <c r="AC289" s="2" t="str">
        <f t="shared" si="82"/>
        <v>2000-01</v>
      </c>
      <c r="AD289" s="9">
        <f t="shared" si="83"/>
        <v>253.59200000000001</v>
      </c>
      <c r="AE289" s="9">
        <f t="shared" si="84"/>
        <v>128.03200000000001</v>
      </c>
      <c r="AF289" s="9">
        <f t="shared" si="85"/>
        <v>381.62399999999997</v>
      </c>
      <c r="AG289" s="9"/>
      <c r="AH289" s="10">
        <v>36526</v>
      </c>
      <c r="AI289" s="9">
        <f t="shared" si="86"/>
        <v>2.5039999999999987</v>
      </c>
      <c r="AJ289" s="9">
        <f t="shared" si="87"/>
        <v>89.261999999999986</v>
      </c>
      <c r="AK289" s="9">
        <f t="shared" si="88"/>
        <v>168.69599999999997</v>
      </c>
      <c r="AL289" s="9">
        <f t="shared" si="89"/>
        <v>-6.87</v>
      </c>
      <c r="AM289" s="12">
        <f t="shared" si="90"/>
        <v>379.11999999999995</v>
      </c>
      <c r="AN289" s="7"/>
      <c r="AO289" s="7"/>
      <c r="AP289" s="7"/>
    </row>
    <row r="290" spans="1:42" x14ac:dyDescent="0.25">
      <c r="A290">
        <v>99996</v>
      </c>
      <c r="B290" t="s">
        <v>277</v>
      </c>
      <c r="C290" s="13">
        <v>415262</v>
      </c>
      <c r="D290" s="13">
        <v>59708</v>
      </c>
      <c r="E290" s="13">
        <v>38604</v>
      </c>
      <c r="F290" s="13">
        <v>293110</v>
      </c>
      <c r="G290" s="13">
        <v>74194</v>
      </c>
      <c r="H290" s="13">
        <v>176332</v>
      </c>
      <c r="J290" s="13">
        <v>409699</v>
      </c>
      <c r="K290" s="13">
        <v>45976</v>
      </c>
      <c r="L290" s="13">
        <v>23479</v>
      </c>
      <c r="M290" s="13">
        <v>265365</v>
      </c>
      <c r="N290" s="13">
        <v>76366</v>
      </c>
      <c r="O290" s="13">
        <v>184949</v>
      </c>
      <c r="Q290" s="3">
        <f t="shared" si="73"/>
        <v>5.5629999999999997</v>
      </c>
      <c r="R290" s="3">
        <f t="shared" si="74"/>
        <v>13.731999999999999</v>
      </c>
      <c r="S290" s="3">
        <f t="shared" si="75"/>
        <v>15.125</v>
      </c>
      <c r="T290" s="3">
        <f t="shared" si="76"/>
        <v>-2.1720000000000002</v>
      </c>
      <c r="U290" s="3"/>
      <c r="V290" s="3">
        <f t="shared" si="77"/>
        <v>27.745000000000001</v>
      </c>
      <c r="W290" s="3">
        <f t="shared" si="78"/>
        <v>-8.6170000000000009</v>
      </c>
      <c r="Y290" s="3">
        <f t="shared" si="79"/>
        <v>32.248000000000005</v>
      </c>
      <c r="Z290" s="3">
        <f t="shared" si="80"/>
        <v>19.128</v>
      </c>
      <c r="AA290" s="3">
        <f t="shared" si="81"/>
        <v>51.376000000000005</v>
      </c>
      <c r="AB290" s="3"/>
      <c r="AC290" s="2" t="str">
        <f t="shared" si="82"/>
        <v>2000-02</v>
      </c>
      <c r="AD290" s="9">
        <f t="shared" si="83"/>
        <v>281.73600000000005</v>
      </c>
      <c r="AE290" s="9">
        <f t="shared" si="84"/>
        <v>139.96600000000001</v>
      </c>
      <c r="AF290" s="9">
        <f t="shared" si="85"/>
        <v>421.702</v>
      </c>
      <c r="AG290" s="9"/>
      <c r="AH290" s="10">
        <v>36557</v>
      </c>
      <c r="AI290" s="9">
        <f t="shared" si="86"/>
        <v>22.689999999999994</v>
      </c>
      <c r="AJ290" s="9">
        <f t="shared" si="87"/>
        <v>99.298999999999992</v>
      </c>
      <c r="AK290" s="9">
        <f t="shared" si="88"/>
        <v>168.53399999999999</v>
      </c>
      <c r="AL290" s="9">
        <f t="shared" si="89"/>
        <v>-8.7870000000000008</v>
      </c>
      <c r="AM290" s="12">
        <f t="shared" si="90"/>
        <v>399.012</v>
      </c>
    </row>
    <row r="291" spans="1:42" x14ac:dyDescent="0.25">
      <c r="A291">
        <v>99996</v>
      </c>
      <c r="B291" t="s">
        <v>278</v>
      </c>
      <c r="C291" s="13">
        <v>374673</v>
      </c>
      <c r="D291" s="13">
        <v>59366</v>
      </c>
      <c r="E291" s="13">
        <v>46816</v>
      </c>
      <c r="F291" s="13">
        <v>402373</v>
      </c>
      <c r="G291" s="13">
        <v>84033</v>
      </c>
      <c r="H291" s="13">
        <v>179305</v>
      </c>
      <c r="J291" s="13">
        <v>391544</v>
      </c>
      <c r="K291" s="13">
        <v>44622</v>
      </c>
      <c r="L291" s="13">
        <v>32021</v>
      </c>
      <c r="M291" s="13">
        <v>378141</v>
      </c>
      <c r="N291" s="13">
        <v>87809</v>
      </c>
      <c r="O291" s="13">
        <v>187574</v>
      </c>
      <c r="Q291" s="3">
        <f t="shared" si="73"/>
        <v>-16.870999999999999</v>
      </c>
      <c r="R291" s="3">
        <f t="shared" si="74"/>
        <v>14.744</v>
      </c>
      <c r="S291" s="3">
        <f t="shared" si="75"/>
        <v>14.795</v>
      </c>
      <c r="T291" s="3">
        <f t="shared" si="76"/>
        <v>-3.7759999999999998</v>
      </c>
      <c r="U291" s="3"/>
      <c r="V291" s="3">
        <f t="shared" si="77"/>
        <v>24.231999999999999</v>
      </c>
      <c r="W291" s="3">
        <f t="shared" si="78"/>
        <v>-8.2690000000000001</v>
      </c>
      <c r="Y291" s="3">
        <f t="shared" si="79"/>
        <v>8.8920000000000012</v>
      </c>
      <c r="Z291" s="3">
        <f t="shared" si="80"/>
        <v>15.962999999999999</v>
      </c>
      <c r="AA291" s="3">
        <f t="shared" si="81"/>
        <v>24.855000000000004</v>
      </c>
      <c r="AB291" s="3"/>
      <c r="AC291" s="2" t="str">
        <f t="shared" si="82"/>
        <v>2000-03</v>
      </c>
      <c r="AD291" s="9">
        <f t="shared" si="83"/>
        <v>262.52900000000005</v>
      </c>
      <c r="AE291" s="9">
        <f t="shared" si="84"/>
        <v>151.184</v>
      </c>
      <c r="AF291" s="9">
        <f t="shared" si="85"/>
        <v>413.71299999999997</v>
      </c>
      <c r="AG291" s="9"/>
      <c r="AH291" s="10">
        <v>36586</v>
      </c>
      <c r="AI291" s="9">
        <f t="shared" si="86"/>
        <v>4.286999999999999</v>
      </c>
      <c r="AJ291" s="9">
        <f t="shared" si="87"/>
        <v>102.229</v>
      </c>
      <c r="AK291" s="9">
        <f t="shared" si="88"/>
        <v>170.28599999999997</v>
      </c>
      <c r="AL291" s="9">
        <f t="shared" si="89"/>
        <v>-14.273</v>
      </c>
      <c r="AM291" s="12">
        <f t="shared" si="90"/>
        <v>409.42599999999999</v>
      </c>
    </row>
    <row r="292" spans="1:42" x14ac:dyDescent="0.25">
      <c r="A292">
        <v>99996</v>
      </c>
      <c r="B292" t="s">
        <v>279</v>
      </c>
      <c r="C292" s="13">
        <v>335420</v>
      </c>
      <c r="D292" s="13">
        <v>61185</v>
      </c>
      <c r="E292" s="13">
        <v>27370</v>
      </c>
      <c r="F292" s="13">
        <v>309778</v>
      </c>
      <c r="G292" s="13">
        <v>63921</v>
      </c>
      <c r="H292" s="13">
        <v>154830</v>
      </c>
      <c r="J292" s="13">
        <v>320900</v>
      </c>
      <c r="K292" s="13">
        <v>52168</v>
      </c>
      <c r="L292" s="13">
        <v>18683</v>
      </c>
      <c r="M292" s="13">
        <v>306474</v>
      </c>
      <c r="N292" s="13">
        <v>63129</v>
      </c>
      <c r="O292" s="13">
        <v>154805</v>
      </c>
      <c r="Q292" s="3">
        <f t="shared" si="73"/>
        <v>14.52</v>
      </c>
      <c r="R292" s="3">
        <f t="shared" si="74"/>
        <v>9.0169999999999995</v>
      </c>
      <c r="S292" s="3">
        <f t="shared" si="75"/>
        <v>8.6869999999999994</v>
      </c>
      <c r="T292" s="3">
        <f t="shared" si="76"/>
        <v>0.79200000000000004</v>
      </c>
      <c r="U292" s="3"/>
      <c r="V292" s="3">
        <f t="shared" si="77"/>
        <v>3.3039999999999998</v>
      </c>
      <c r="W292" s="3">
        <f t="shared" si="78"/>
        <v>2.5000000000000001E-2</v>
      </c>
      <c r="Y292" s="3">
        <f t="shared" si="79"/>
        <v>33.015999999999998</v>
      </c>
      <c r="Z292" s="3">
        <f t="shared" si="80"/>
        <v>3.3289999999999997</v>
      </c>
      <c r="AA292" s="3">
        <f t="shared" si="81"/>
        <v>36.344999999999999</v>
      </c>
      <c r="AB292" s="3"/>
      <c r="AC292" s="2" t="str">
        <f t="shared" si="82"/>
        <v>2000-04</v>
      </c>
      <c r="AD292" s="9">
        <f t="shared" si="83"/>
        <v>281.43500000000006</v>
      </c>
      <c r="AE292" s="9">
        <f t="shared" si="84"/>
        <v>131.41800000000001</v>
      </c>
      <c r="AF292" s="9">
        <f t="shared" si="85"/>
        <v>412.85300000000007</v>
      </c>
      <c r="AG292" s="9"/>
      <c r="AH292" s="10">
        <v>36617</v>
      </c>
      <c r="AI292" s="9">
        <f t="shared" si="86"/>
        <v>22.077999999999999</v>
      </c>
      <c r="AJ292" s="9">
        <f t="shared" si="87"/>
        <v>99.98299999999999</v>
      </c>
      <c r="AK292" s="9">
        <f t="shared" si="88"/>
        <v>167.708</v>
      </c>
      <c r="AL292" s="9">
        <f t="shared" si="89"/>
        <v>-8.3340000000000014</v>
      </c>
      <c r="AM292" s="12">
        <f t="shared" si="90"/>
        <v>390.77500000000009</v>
      </c>
    </row>
    <row r="293" spans="1:42" x14ac:dyDescent="0.25">
      <c r="A293">
        <v>99996</v>
      </c>
      <c r="B293" t="s">
        <v>280</v>
      </c>
      <c r="C293" s="13">
        <v>330778</v>
      </c>
      <c r="D293" s="13">
        <v>57950</v>
      </c>
      <c r="E293" s="13">
        <v>31810</v>
      </c>
      <c r="F293" s="13">
        <v>268500</v>
      </c>
      <c r="G293" s="13">
        <v>79214</v>
      </c>
      <c r="H293" s="13">
        <v>146598</v>
      </c>
      <c r="J293" s="13">
        <v>337796</v>
      </c>
      <c r="K293" s="13">
        <v>44079</v>
      </c>
      <c r="L293" s="13">
        <v>24133</v>
      </c>
      <c r="M293" s="13">
        <v>262187</v>
      </c>
      <c r="N293" s="13">
        <v>74611</v>
      </c>
      <c r="O293" s="13">
        <v>138292</v>
      </c>
      <c r="Q293" s="3">
        <f t="shared" si="73"/>
        <v>-7.0179999999999998</v>
      </c>
      <c r="R293" s="3">
        <f t="shared" si="74"/>
        <v>13.871</v>
      </c>
      <c r="S293" s="3">
        <f t="shared" si="75"/>
        <v>7.6769999999999996</v>
      </c>
      <c r="T293" s="3">
        <f t="shared" si="76"/>
        <v>4.6029999999999998</v>
      </c>
      <c r="U293" s="3"/>
      <c r="V293" s="3">
        <f t="shared" si="77"/>
        <v>6.3129999999999997</v>
      </c>
      <c r="W293" s="3">
        <f t="shared" si="78"/>
        <v>8.3059999999999992</v>
      </c>
      <c r="Y293" s="3">
        <f t="shared" si="79"/>
        <v>19.133000000000003</v>
      </c>
      <c r="Z293" s="3">
        <f t="shared" si="80"/>
        <v>14.619</v>
      </c>
      <c r="AA293" s="3">
        <f t="shared" si="81"/>
        <v>33.752000000000002</v>
      </c>
      <c r="AB293" s="3"/>
      <c r="AC293" s="2" t="str">
        <f t="shared" si="82"/>
        <v>2000-05</v>
      </c>
      <c r="AD293" s="9">
        <f t="shared" si="83"/>
        <v>278.01600000000002</v>
      </c>
      <c r="AE293" s="9">
        <f t="shared" si="84"/>
        <v>135.065</v>
      </c>
      <c r="AF293" s="9">
        <f t="shared" si="85"/>
        <v>413.08100000000007</v>
      </c>
      <c r="AG293" s="9"/>
      <c r="AH293" s="10">
        <v>36647</v>
      </c>
      <c r="AI293" s="9">
        <f t="shared" si="86"/>
        <v>9.421999999999997</v>
      </c>
      <c r="AJ293" s="9">
        <f t="shared" si="87"/>
        <v>107.29199999999999</v>
      </c>
      <c r="AK293" s="9">
        <f t="shared" si="88"/>
        <v>164.53399999999999</v>
      </c>
      <c r="AL293" s="9">
        <f t="shared" si="89"/>
        <v>-3.2320000000000011</v>
      </c>
      <c r="AM293" s="12">
        <f t="shared" si="90"/>
        <v>403.65900000000011</v>
      </c>
    </row>
    <row r="294" spans="1:42" x14ac:dyDescent="0.25">
      <c r="A294">
        <v>99996</v>
      </c>
      <c r="B294" t="s">
        <v>281</v>
      </c>
      <c r="C294" s="13">
        <v>291954</v>
      </c>
      <c r="D294" s="13">
        <v>53146</v>
      </c>
      <c r="E294" s="13">
        <v>54173</v>
      </c>
      <c r="F294" s="13">
        <v>300356</v>
      </c>
      <c r="G294" s="13">
        <v>82907</v>
      </c>
      <c r="H294" s="13">
        <v>152855</v>
      </c>
      <c r="J294" s="13">
        <v>309886</v>
      </c>
      <c r="K294" s="13">
        <v>46677</v>
      </c>
      <c r="L294" s="13">
        <v>28438</v>
      </c>
      <c r="M294" s="13">
        <v>282563</v>
      </c>
      <c r="N294" s="13">
        <v>77255</v>
      </c>
      <c r="O294" s="13">
        <v>156681</v>
      </c>
      <c r="Q294" s="3">
        <f t="shared" si="73"/>
        <v>-17.931999999999999</v>
      </c>
      <c r="R294" s="3">
        <f t="shared" si="74"/>
        <v>6.4690000000000003</v>
      </c>
      <c r="S294" s="3">
        <f t="shared" si="75"/>
        <v>25.734999999999999</v>
      </c>
      <c r="T294" s="3">
        <f t="shared" si="76"/>
        <v>5.6520000000000001</v>
      </c>
      <c r="U294" s="3"/>
      <c r="V294" s="3">
        <f t="shared" si="77"/>
        <v>17.792999999999999</v>
      </c>
      <c r="W294" s="3">
        <f t="shared" si="78"/>
        <v>-3.8260000000000001</v>
      </c>
      <c r="Y294" s="3">
        <f t="shared" si="79"/>
        <v>19.924000000000003</v>
      </c>
      <c r="Z294" s="3">
        <f t="shared" si="80"/>
        <v>13.966999999999999</v>
      </c>
      <c r="AA294" s="3">
        <f t="shared" si="81"/>
        <v>33.890999999999998</v>
      </c>
      <c r="AB294" s="3"/>
      <c r="AC294" s="2" t="str">
        <f t="shared" si="82"/>
        <v>2000-06</v>
      </c>
      <c r="AD294" s="9">
        <f t="shared" si="83"/>
        <v>273.64099999999996</v>
      </c>
      <c r="AE294" s="9">
        <f t="shared" si="84"/>
        <v>130.90600000000001</v>
      </c>
      <c r="AF294" s="9">
        <f t="shared" si="85"/>
        <v>404.54700000000003</v>
      </c>
      <c r="AG294" s="9"/>
      <c r="AH294" s="10">
        <v>36678</v>
      </c>
      <c r="AI294" s="9">
        <f t="shared" si="86"/>
        <v>-7.9010000000000034</v>
      </c>
      <c r="AJ294" s="9">
        <f t="shared" si="87"/>
        <v>108.73299999999999</v>
      </c>
      <c r="AK294" s="9">
        <f t="shared" si="88"/>
        <v>179.23399999999998</v>
      </c>
      <c r="AL294" s="9">
        <f t="shared" si="89"/>
        <v>-6.4249999999999998</v>
      </c>
      <c r="AM294" s="12">
        <f t="shared" si="90"/>
        <v>412.44800000000004</v>
      </c>
    </row>
    <row r="295" spans="1:42" x14ac:dyDescent="0.25">
      <c r="A295">
        <v>99996</v>
      </c>
      <c r="B295" t="s">
        <v>282</v>
      </c>
      <c r="C295" s="13">
        <v>238870</v>
      </c>
      <c r="D295" s="13">
        <v>53485</v>
      </c>
      <c r="E295" s="13">
        <v>34095</v>
      </c>
      <c r="F295" s="13">
        <v>271572</v>
      </c>
      <c r="G295" s="13">
        <v>68404</v>
      </c>
      <c r="H295" s="13">
        <v>136467</v>
      </c>
      <c r="J295" s="13">
        <v>244931</v>
      </c>
      <c r="K295" s="13">
        <v>43307</v>
      </c>
      <c r="L295" s="13">
        <v>23703</v>
      </c>
      <c r="M295" s="13">
        <v>255999</v>
      </c>
      <c r="N295" s="13">
        <v>74944</v>
      </c>
      <c r="O295" s="13">
        <v>151958</v>
      </c>
      <c r="Q295" s="3">
        <f t="shared" si="73"/>
        <v>-6.0609999999999999</v>
      </c>
      <c r="R295" s="3">
        <f t="shared" si="74"/>
        <v>10.178000000000001</v>
      </c>
      <c r="S295" s="3">
        <f t="shared" si="75"/>
        <v>10.391999999999999</v>
      </c>
      <c r="T295" s="3">
        <f t="shared" si="76"/>
        <v>-6.54</v>
      </c>
      <c r="U295" s="3"/>
      <c r="V295" s="3">
        <f t="shared" si="77"/>
        <v>15.573</v>
      </c>
      <c r="W295" s="3">
        <f t="shared" si="78"/>
        <v>-15.491</v>
      </c>
      <c r="Y295" s="3">
        <f t="shared" si="79"/>
        <v>7.9690000000000003</v>
      </c>
      <c r="Z295" s="3">
        <f t="shared" si="80"/>
        <v>8.2000000000000739E-2</v>
      </c>
      <c r="AA295" s="3">
        <f t="shared" si="81"/>
        <v>8.0510000000000019</v>
      </c>
      <c r="AB295" s="3"/>
      <c r="AC295" s="2" t="str">
        <f t="shared" si="82"/>
        <v>2000-07</v>
      </c>
      <c r="AD295" s="9">
        <f t="shared" si="83"/>
        <v>264.178</v>
      </c>
      <c r="AE295" s="9">
        <f t="shared" si="84"/>
        <v>124.86699999999999</v>
      </c>
      <c r="AF295" s="9">
        <f t="shared" si="85"/>
        <v>389.04500000000002</v>
      </c>
      <c r="AG295" s="9"/>
      <c r="AH295" s="10">
        <v>36708</v>
      </c>
      <c r="AI295" s="9">
        <f t="shared" si="86"/>
        <v>-7.7259999999999991</v>
      </c>
      <c r="AJ295" s="9">
        <f t="shared" si="87"/>
        <v>111.40799999999997</v>
      </c>
      <c r="AK295" s="9">
        <f t="shared" si="88"/>
        <v>168.68400000000003</v>
      </c>
      <c r="AL295" s="9">
        <f t="shared" si="89"/>
        <v>-8.1880000000000006</v>
      </c>
      <c r="AM295" s="12">
        <f t="shared" si="90"/>
        <v>396.77100000000002</v>
      </c>
    </row>
    <row r="296" spans="1:42" x14ac:dyDescent="0.25">
      <c r="A296">
        <v>99996</v>
      </c>
      <c r="B296" t="s">
        <v>283</v>
      </c>
      <c r="C296" s="13">
        <v>261003</v>
      </c>
      <c r="D296" s="13">
        <v>61079</v>
      </c>
      <c r="E296" s="13">
        <v>46729</v>
      </c>
      <c r="F296" s="13">
        <v>286819</v>
      </c>
      <c r="G296" s="13">
        <v>74848</v>
      </c>
      <c r="H296" s="13">
        <v>142850</v>
      </c>
      <c r="J296" s="13">
        <v>261116</v>
      </c>
      <c r="K296" s="13">
        <v>44768</v>
      </c>
      <c r="L296" s="13">
        <v>24746</v>
      </c>
      <c r="M296" s="13">
        <v>262546</v>
      </c>
      <c r="N296" s="13">
        <v>77577</v>
      </c>
      <c r="O296" s="13">
        <v>142526</v>
      </c>
      <c r="Q296" s="3">
        <f t="shared" si="73"/>
        <v>-0.113</v>
      </c>
      <c r="R296" s="3">
        <f t="shared" si="74"/>
        <v>16.311</v>
      </c>
      <c r="S296" s="3">
        <f t="shared" si="75"/>
        <v>21.983000000000001</v>
      </c>
      <c r="T296" s="3">
        <f t="shared" si="76"/>
        <v>-2.7290000000000001</v>
      </c>
      <c r="U296" s="3"/>
      <c r="V296" s="3">
        <f t="shared" si="77"/>
        <v>24.273</v>
      </c>
      <c r="W296" s="3">
        <f t="shared" si="78"/>
        <v>0.32400000000000001</v>
      </c>
      <c r="Y296" s="3">
        <f t="shared" si="79"/>
        <v>35.451999999999998</v>
      </c>
      <c r="Z296" s="3">
        <f t="shared" si="80"/>
        <v>24.597000000000001</v>
      </c>
      <c r="AA296" s="3">
        <f t="shared" si="81"/>
        <v>60.048999999999992</v>
      </c>
      <c r="AB296" s="3"/>
      <c r="AC296" s="2" t="str">
        <f t="shared" si="82"/>
        <v>2000-08</v>
      </c>
      <c r="AD296" s="9">
        <f t="shared" si="83"/>
        <v>268.58699999999999</v>
      </c>
      <c r="AE296" s="9">
        <f t="shared" si="84"/>
        <v>136.70399999999998</v>
      </c>
      <c r="AF296" s="9">
        <f t="shared" si="85"/>
        <v>405.291</v>
      </c>
      <c r="AG296" s="9"/>
      <c r="AH296" s="10">
        <v>36739</v>
      </c>
      <c r="AI296" s="9">
        <f t="shared" si="86"/>
        <v>-26.956999999999997</v>
      </c>
      <c r="AJ296" s="9">
        <f t="shared" si="87"/>
        <v>122.19899999999998</v>
      </c>
      <c r="AK296" s="9">
        <f t="shared" si="88"/>
        <v>177.84100000000001</v>
      </c>
      <c r="AL296" s="9">
        <f t="shared" si="89"/>
        <v>-4.4960000000000013</v>
      </c>
      <c r="AM296" s="12">
        <f t="shared" si="90"/>
        <v>432.24799999999999</v>
      </c>
    </row>
    <row r="297" spans="1:42" x14ac:dyDescent="0.25">
      <c r="A297">
        <v>99996</v>
      </c>
      <c r="B297" t="s">
        <v>284</v>
      </c>
      <c r="C297" s="13">
        <v>287803</v>
      </c>
      <c r="D297" s="13">
        <v>64605</v>
      </c>
      <c r="E297" s="13">
        <v>41779</v>
      </c>
      <c r="F297" s="13">
        <v>297677</v>
      </c>
      <c r="G297" s="13">
        <v>92190</v>
      </c>
      <c r="H297" s="13">
        <v>148564</v>
      </c>
      <c r="J297" s="13">
        <v>296610</v>
      </c>
      <c r="K297" s="13">
        <v>48208</v>
      </c>
      <c r="L297" s="13">
        <v>28017</v>
      </c>
      <c r="M297" s="13">
        <v>289118</v>
      </c>
      <c r="N297" s="13">
        <v>91906</v>
      </c>
      <c r="O297" s="13">
        <v>138797</v>
      </c>
      <c r="Q297" s="3">
        <f t="shared" si="73"/>
        <v>-8.8070000000000004</v>
      </c>
      <c r="R297" s="3">
        <f t="shared" si="74"/>
        <v>16.396999999999998</v>
      </c>
      <c r="S297" s="3">
        <f t="shared" si="75"/>
        <v>13.762</v>
      </c>
      <c r="T297" s="3">
        <f t="shared" si="76"/>
        <v>0.28399999999999997</v>
      </c>
      <c r="U297" s="3"/>
      <c r="V297" s="3">
        <f t="shared" si="77"/>
        <v>8.5589999999999993</v>
      </c>
      <c r="W297" s="3">
        <f t="shared" si="78"/>
        <v>9.7669999999999995</v>
      </c>
      <c r="Y297" s="3">
        <f t="shared" si="79"/>
        <v>21.635999999999996</v>
      </c>
      <c r="Z297" s="3">
        <f t="shared" si="80"/>
        <v>18.326000000000001</v>
      </c>
      <c r="AA297" s="3">
        <f t="shared" si="81"/>
        <v>39.961999999999989</v>
      </c>
      <c r="AB297" s="3"/>
      <c r="AC297" s="2" t="str">
        <f t="shared" si="82"/>
        <v>2000-09</v>
      </c>
      <c r="AD297" s="9">
        <f t="shared" si="83"/>
        <v>261.81200000000001</v>
      </c>
      <c r="AE297" s="9">
        <f t="shared" si="84"/>
        <v>150.91999999999999</v>
      </c>
      <c r="AF297" s="9">
        <f t="shared" si="85"/>
        <v>412.73199999999997</v>
      </c>
      <c r="AG297" s="9"/>
      <c r="AH297" s="10">
        <v>36770</v>
      </c>
      <c r="AI297" s="9">
        <f t="shared" si="86"/>
        <v>-35.853999999999999</v>
      </c>
      <c r="AJ297" s="9">
        <f t="shared" si="87"/>
        <v>128.70399999999998</v>
      </c>
      <c r="AK297" s="9">
        <f t="shared" si="88"/>
        <v>174.30599999999998</v>
      </c>
      <c r="AL297" s="9">
        <f t="shared" si="89"/>
        <v>-5.3440000000000012</v>
      </c>
      <c r="AM297" s="12">
        <f t="shared" si="90"/>
        <v>448.58599999999996</v>
      </c>
    </row>
    <row r="298" spans="1:42" x14ac:dyDescent="0.25">
      <c r="A298">
        <v>99996</v>
      </c>
      <c r="B298" t="s">
        <v>285</v>
      </c>
      <c r="C298" s="13">
        <v>352223</v>
      </c>
      <c r="D298" s="13">
        <v>64319</v>
      </c>
      <c r="E298" s="13">
        <v>38941</v>
      </c>
      <c r="F298" s="13">
        <v>339995</v>
      </c>
      <c r="G298" s="13">
        <v>98505</v>
      </c>
      <c r="H298" s="13">
        <v>152872</v>
      </c>
      <c r="J298" s="13">
        <v>355212</v>
      </c>
      <c r="K298" s="13">
        <v>46133</v>
      </c>
      <c r="L298" s="13">
        <v>25553</v>
      </c>
      <c r="M298" s="13">
        <v>323659</v>
      </c>
      <c r="N298" s="13">
        <v>102176</v>
      </c>
      <c r="O298" s="13">
        <v>150257</v>
      </c>
      <c r="Q298" s="3">
        <f t="shared" si="73"/>
        <v>-2.9889999999999999</v>
      </c>
      <c r="R298" s="3">
        <f t="shared" si="74"/>
        <v>18.186</v>
      </c>
      <c r="S298" s="3">
        <f t="shared" si="75"/>
        <v>13.388</v>
      </c>
      <c r="T298" s="3">
        <f t="shared" si="76"/>
        <v>-3.6709999999999998</v>
      </c>
      <c r="U298" s="3"/>
      <c r="V298" s="3">
        <f t="shared" si="77"/>
        <v>16.335999999999999</v>
      </c>
      <c r="W298" s="3">
        <f t="shared" si="78"/>
        <v>2.6150000000000002</v>
      </c>
      <c r="Y298" s="3">
        <f t="shared" si="79"/>
        <v>24.914000000000001</v>
      </c>
      <c r="Z298" s="3">
        <f t="shared" si="80"/>
        <v>18.951000000000001</v>
      </c>
      <c r="AA298" s="3">
        <f t="shared" si="81"/>
        <v>43.865000000000002</v>
      </c>
      <c r="AB298" s="3"/>
      <c r="AC298" s="2" t="str">
        <f t="shared" si="82"/>
        <v>2000-10</v>
      </c>
      <c r="AD298" s="9">
        <f t="shared" si="83"/>
        <v>272.37299999999999</v>
      </c>
      <c r="AE298" s="9">
        <f t="shared" si="84"/>
        <v>170.30699999999999</v>
      </c>
      <c r="AF298" s="9">
        <f t="shared" si="85"/>
        <v>442.67999999999995</v>
      </c>
      <c r="AG298" s="9"/>
      <c r="AH298" s="10">
        <v>36800</v>
      </c>
      <c r="AI298" s="9">
        <f t="shared" si="86"/>
        <v>-29.110000000000003</v>
      </c>
      <c r="AJ298" s="9">
        <f t="shared" si="87"/>
        <v>137.61999999999998</v>
      </c>
      <c r="AK298" s="9">
        <f t="shared" si="88"/>
        <v>171.55799999999999</v>
      </c>
      <c r="AL298" s="9">
        <f t="shared" si="89"/>
        <v>-7.6950000000000003</v>
      </c>
      <c r="AM298" s="12">
        <f t="shared" si="90"/>
        <v>471.78999999999996</v>
      </c>
    </row>
    <row r="299" spans="1:42" x14ac:dyDescent="0.25">
      <c r="A299">
        <v>99996</v>
      </c>
      <c r="B299" t="s">
        <v>286</v>
      </c>
      <c r="C299" s="13">
        <v>303634</v>
      </c>
      <c r="D299" s="13">
        <v>72605</v>
      </c>
      <c r="E299" s="13">
        <v>42353</v>
      </c>
      <c r="F299" s="13">
        <v>284909</v>
      </c>
      <c r="G299" s="13">
        <v>94817</v>
      </c>
      <c r="H299" s="13">
        <v>141601</v>
      </c>
      <c r="J299" s="13">
        <v>317740</v>
      </c>
      <c r="K299" s="13">
        <v>54262</v>
      </c>
      <c r="L299" s="13">
        <v>23334</v>
      </c>
      <c r="M299" s="13">
        <v>275855</v>
      </c>
      <c r="N299" s="13">
        <v>86625</v>
      </c>
      <c r="O299" s="13">
        <v>136598</v>
      </c>
      <c r="Q299" s="3">
        <f t="shared" si="73"/>
        <v>-14.106</v>
      </c>
      <c r="R299" s="3">
        <f t="shared" si="74"/>
        <v>18.343</v>
      </c>
      <c r="S299" s="3">
        <f t="shared" si="75"/>
        <v>19.018999999999998</v>
      </c>
      <c r="T299" s="3">
        <f t="shared" si="76"/>
        <v>8.1920000000000002</v>
      </c>
      <c r="U299" s="3"/>
      <c r="V299" s="3">
        <f t="shared" si="77"/>
        <v>9.0540000000000003</v>
      </c>
      <c r="W299" s="3">
        <f t="shared" si="78"/>
        <v>5.0030000000000001</v>
      </c>
      <c r="Y299" s="3">
        <f t="shared" si="79"/>
        <v>31.448</v>
      </c>
      <c r="Z299" s="3">
        <f t="shared" si="80"/>
        <v>14.057</v>
      </c>
      <c r="AA299" s="3">
        <f t="shared" si="81"/>
        <v>45.505000000000003</v>
      </c>
      <c r="AB299" s="3"/>
      <c r="AC299" s="2" t="str">
        <f t="shared" si="82"/>
        <v>2000-11</v>
      </c>
      <c r="AD299" s="9">
        <f t="shared" si="83"/>
        <v>284.80599999999998</v>
      </c>
      <c r="AE299" s="9">
        <f t="shared" si="84"/>
        <v>162.13</v>
      </c>
      <c r="AF299" s="9">
        <f t="shared" si="85"/>
        <v>446.93599999999998</v>
      </c>
      <c r="AG299" s="9"/>
      <c r="AH299" s="10">
        <v>36831</v>
      </c>
      <c r="AI299" s="9">
        <f t="shared" si="86"/>
        <v>-39.600999999999999</v>
      </c>
      <c r="AJ299" s="9">
        <f t="shared" si="87"/>
        <v>147.96699999999998</v>
      </c>
      <c r="AK299" s="9">
        <f t="shared" si="88"/>
        <v>175.43100000000001</v>
      </c>
      <c r="AL299" s="9">
        <f t="shared" si="89"/>
        <v>1.0090000000000003</v>
      </c>
      <c r="AM299" s="12">
        <f t="shared" si="90"/>
        <v>486.53699999999998</v>
      </c>
    </row>
    <row r="300" spans="1:42" x14ac:dyDescent="0.25">
      <c r="A300">
        <v>99996</v>
      </c>
      <c r="B300" t="s">
        <v>287</v>
      </c>
      <c r="C300" s="13">
        <v>336144</v>
      </c>
      <c r="D300" s="13">
        <v>75999</v>
      </c>
      <c r="E300" s="13">
        <v>43126</v>
      </c>
      <c r="F300" s="13">
        <v>286161</v>
      </c>
      <c r="G300" s="13">
        <v>83713</v>
      </c>
      <c r="H300" s="13">
        <v>135417</v>
      </c>
      <c r="J300" s="13">
        <v>345933</v>
      </c>
      <c r="K300" s="13">
        <v>66069</v>
      </c>
      <c r="L300" s="13">
        <v>24074</v>
      </c>
      <c r="M300" s="13">
        <v>275034</v>
      </c>
      <c r="N300" s="13">
        <v>84904</v>
      </c>
      <c r="O300" s="13">
        <v>139425</v>
      </c>
      <c r="Q300" s="3">
        <f t="shared" si="73"/>
        <v>-9.7889999999999997</v>
      </c>
      <c r="R300" s="3">
        <f t="shared" si="74"/>
        <v>9.93</v>
      </c>
      <c r="S300" s="3">
        <f t="shared" si="75"/>
        <v>19.052</v>
      </c>
      <c r="T300" s="3">
        <f t="shared" si="76"/>
        <v>-1.1910000000000001</v>
      </c>
      <c r="U300" s="3"/>
      <c r="V300" s="3">
        <f t="shared" si="77"/>
        <v>11.127000000000001</v>
      </c>
      <c r="W300" s="3">
        <f t="shared" si="78"/>
        <v>-4.008</v>
      </c>
      <c r="Y300" s="3">
        <f t="shared" si="79"/>
        <v>18.001999999999999</v>
      </c>
      <c r="Z300" s="3">
        <f t="shared" si="80"/>
        <v>7.1190000000000007</v>
      </c>
      <c r="AA300" s="3">
        <f t="shared" si="81"/>
        <v>25.120999999999999</v>
      </c>
      <c r="AB300" s="3"/>
      <c r="AC300" s="2" t="str">
        <f t="shared" si="82"/>
        <v>2000-12</v>
      </c>
      <c r="AD300" s="9">
        <f t="shared" si="83"/>
        <v>278.88400000000001</v>
      </c>
      <c r="AE300" s="9">
        <f t="shared" si="84"/>
        <v>161.80199999999999</v>
      </c>
      <c r="AF300" s="9">
        <f t="shared" si="85"/>
        <v>440.68599999999998</v>
      </c>
      <c r="AG300" s="9"/>
      <c r="AH300" s="10">
        <v>36861</v>
      </c>
      <c r="AI300" s="9">
        <f t="shared" si="86"/>
        <v>-54.031999999999996</v>
      </c>
      <c r="AJ300" s="9">
        <f t="shared" si="87"/>
        <v>152.84199999999998</v>
      </c>
      <c r="AK300" s="9">
        <f t="shared" si="88"/>
        <v>184.12799999999999</v>
      </c>
      <c r="AL300" s="9">
        <f t="shared" si="89"/>
        <v>-4.0539999999999994</v>
      </c>
      <c r="AM300" s="12">
        <f t="shared" si="90"/>
        <v>494.71799999999996</v>
      </c>
    </row>
    <row r="301" spans="1:42" x14ac:dyDescent="0.25">
      <c r="A301">
        <v>99996</v>
      </c>
      <c r="B301" t="s">
        <v>288</v>
      </c>
      <c r="C301" s="13">
        <v>470728</v>
      </c>
      <c r="D301" s="13">
        <v>86121</v>
      </c>
      <c r="E301" s="13">
        <v>52121</v>
      </c>
      <c r="F301" s="13">
        <v>300629</v>
      </c>
      <c r="G301" s="13">
        <v>116783</v>
      </c>
      <c r="H301" s="13">
        <v>147050</v>
      </c>
      <c r="J301" s="13">
        <v>479355</v>
      </c>
      <c r="K301" s="13">
        <v>72847</v>
      </c>
      <c r="L301" s="13">
        <v>38412</v>
      </c>
      <c r="M301" s="13">
        <v>276851</v>
      </c>
      <c r="N301" s="13">
        <v>118705</v>
      </c>
      <c r="O301" s="13">
        <v>149895</v>
      </c>
      <c r="Q301" s="3">
        <f t="shared" si="73"/>
        <v>-8.6270000000000007</v>
      </c>
      <c r="R301" s="3">
        <f t="shared" si="74"/>
        <v>13.273999999999999</v>
      </c>
      <c r="S301" s="3">
        <f t="shared" si="75"/>
        <v>13.709</v>
      </c>
      <c r="T301" s="3">
        <f t="shared" si="76"/>
        <v>-1.9219999999999999</v>
      </c>
      <c r="U301" s="3"/>
      <c r="V301" s="3">
        <f t="shared" si="77"/>
        <v>23.777999999999999</v>
      </c>
      <c r="W301" s="3">
        <f t="shared" si="78"/>
        <v>-2.8450000000000002</v>
      </c>
      <c r="Y301" s="3">
        <f t="shared" si="79"/>
        <v>16.433999999999997</v>
      </c>
      <c r="Z301" s="3">
        <f t="shared" si="80"/>
        <v>20.933</v>
      </c>
      <c r="AA301" s="3">
        <f t="shared" si="81"/>
        <v>37.366999999999997</v>
      </c>
      <c r="AB301" s="3"/>
      <c r="AC301" s="2" t="str">
        <f t="shared" si="82"/>
        <v>2001-01</v>
      </c>
      <c r="AD301" s="9">
        <f t="shared" si="83"/>
        <v>269.06800000000004</v>
      </c>
      <c r="AE301" s="9">
        <f t="shared" si="84"/>
        <v>171.07099999999997</v>
      </c>
      <c r="AF301" s="9">
        <f t="shared" si="85"/>
        <v>440.13899999999995</v>
      </c>
      <c r="AG301" s="9"/>
      <c r="AH301" s="10">
        <v>36892</v>
      </c>
      <c r="AI301" s="9">
        <f t="shared" si="86"/>
        <v>-72.23</v>
      </c>
      <c r="AJ301" s="9">
        <f t="shared" si="87"/>
        <v>160.452</v>
      </c>
      <c r="AK301" s="9">
        <f t="shared" si="88"/>
        <v>183.32400000000001</v>
      </c>
      <c r="AL301" s="9">
        <f t="shared" si="89"/>
        <v>-2.4780000000000002</v>
      </c>
      <c r="AM301" s="12">
        <f t="shared" si="90"/>
        <v>512.36899999999991</v>
      </c>
    </row>
    <row r="302" spans="1:42" x14ac:dyDescent="0.25">
      <c r="A302">
        <v>99996</v>
      </c>
      <c r="B302" t="s">
        <v>289</v>
      </c>
      <c r="C302" s="13">
        <v>409898</v>
      </c>
      <c r="D302" s="13">
        <v>80292</v>
      </c>
      <c r="E302" s="13">
        <v>67337</v>
      </c>
      <c r="F302" s="13">
        <v>258218</v>
      </c>
      <c r="G302" s="13">
        <v>102395</v>
      </c>
      <c r="H302" s="13">
        <v>129789</v>
      </c>
      <c r="J302" s="13">
        <v>402684</v>
      </c>
      <c r="K302" s="13">
        <v>70765</v>
      </c>
      <c r="L302" s="13">
        <v>37836</v>
      </c>
      <c r="M302" s="13">
        <v>248783</v>
      </c>
      <c r="N302" s="13">
        <v>101160</v>
      </c>
      <c r="O302" s="13">
        <v>133220</v>
      </c>
      <c r="Q302" s="3">
        <f t="shared" si="73"/>
        <v>7.2140000000000004</v>
      </c>
      <c r="R302" s="3">
        <f t="shared" si="74"/>
        <v>9.5269999999999992</v>
      </c>
      <c r="S302" s="3">
        <f t="shared" si="75"/>
        <v>29.501000000000001</v>
      </c>
      <c r="T302" s="3">
        <f t="shared" si="76"/>
        <v>1.2350000000000001</v>
      </c>
      <c r="U302" s="3"/>
      <c r="V302" s="3">
        <f t="shared" si="77"/>
        <v>9.4350000000000005</v>
      </c>
      <c r="W302" s="3">
        <f t="shared" si="78"/>
        <v>-3.431</v>
      </c>
      <c r="Y302" s="3">
        <f t="shared" si="79"/>
        <v>47.477000000000004</v>
      </c>
      <c r="Z302" s="3">
        <f t="shared" si="80"/>
        <v>6.0040000000000004</v>
      </c>
      <c r="AA302" s="3">
        <f t="shared" si="81"/>
        <v>53.481000000000009</v>
      </c>
      <c r="AB302" s="3"/>
      <c r="AC302" s="2" t="str">
        <f t="shared" si="82"/>
        <v>2001-02</v>
      </c>
      <c r="AD302" s="9">
        <f t="shared" si="83"/>
        <v>284.29700000000003</v>
      </c>
      <c r="AE302" s="9">
        <f t="shared" si="84"/>
        <v>157.947</v>
      </c>
      <c r="AF302" s="9">
        <f t="shared" si="85"/>
        <v>442.24399999999997</v>
      </c>
      <c r="AG302" s="9"/>
      <c r="AH302" s="10">
        <v>36923</v>
      </c>
      <c r="AI302" s="9">
        <f t="shared" si="86"/>
        <v>-70.578999999999994</v>
      </c>
      <c r="AJ302" s="9">
        <f t="shared" si="87"/>
        <v>156.24699999999999</v>
      </c>
      <c r="AK302" s="9">
        <f t="shared" si="88"/>
        <v>197.70000000000002</v>
      </c>
      <c r="AL302" s="9">
        <f t="shared" si="89"/>
        <v>0.92900000000000049</v>
      </c>
      <c r="AM302" s="12">
        <f t="shared" si="90"/>
        <v>512.82299999999998</v>
      </c>
    </row>
    <row r="303" spans="1:42" x14ac:dyDescent="0.25">
      <c r="A303">
        <v>99996</v>
      </c>
      <c r="B303" t="s">
        <v>290</v>
      </c>
      <c r="C303" s="13">
        <v>446523</v>
      </c>
      <c r="D303" s="13">
        <v>104309</v>
      </c>
      <c r="E303" s="13">
        <v>65541</v>
      </c>
      <c r="F303" s="13">
        <v>284280</v>
      </c>
      <c r="G303" s="13">
        <v>115671</v>
      </c>
      <c r="H303" s="13">
        <v>132858</v>
      </c>
      <c r="J303" s="13">
        <v>441626</v>
      </c>
      <c r="K303" s="13">
        <v>84765</v>
      </c>
      <c r="L303" s="13">
        <v>38838</v>
      </c>
      <c r="M303" s="13">
        <v>276852</v>
      </c>
      <c r="N303" s="13">
        <v>116966</v>
      </c>
      <c r="O303" s="13">
        <v>142592</v>
      </c>
      <c r="Q303" s="3">
        <f t="shared" si="73"/>
        <v>4.8970000000000002</v>
      </c>
      <c r="R303" s="3">
        <f t="shared" si="74"/>
        <v>19.544</v>
      </c>
      <c r="S303" s="3">
        <f t="shared" si="75"/>
        <v>26.702999999999999</v>
      </c>
      <c r="T303" s="3">
        <f t="shared" si="76"/>
        <v>-1.2949999999999999</v>
      </c>
      <c r="U303" s="3"/>
      <c r="V303" s="3">
        <f t="shared" si="77"/>
        <v>7.4279999999999999</v>
      </c>
      <c r="W303" s="3">
        <f t="shared" si="78"/>
        <v>-9.734</v>
      </c>
      <c r="Y303" s="3">
        <f t="shared" si="79"/>
        <v>49.849000000000004</v>
      </c>
      <c r="Z303" s="3">
        <f t="shared" si="80"/>
        <v>-2.306</v>
      </c>
      <c r="AA303" s="3">
        <f t="shared" si="81"/>
        <v>47.542999999999999</v>
      </c>
      <c r="AB303" s="3"/>
      <c r="AC303" s="2" t="str">
        <f t="shared" si="82"/>
        <v>2001-03</v>
      </c>
      <c r="AD303" s="9">
        <f t="shared" si="83"/>
        <v>325.25399999999996</v>
      </c>
      <c r="AE303" s="9">
        <f t="shared" si="84"/>
        <v>139.678</v>
      </c>
      <c r="AF303" s="9">
        <f t="shared" si="85"/>
        <v>464.93200000000002</v>
      </c>
      <c r="AG303" s="9"/>
      <c r="AH303" s="10">
        <v>36951</v>
      </c>
      <c r="AI303" s="9">
        <f t="shared" si="86"/>
        <v>-48.811000000000007</v>
      </c>
      <c r="AJ303" s="9">
        <f t="shared" si="87"/>
        <v>161.047</v>
      </c>
      <c r="AK303" s="9">
        <f t="shared" si="88"/>
        <v>209.608</v>
      </c>
      <c r="AL303" s="9">
        <f t="shared" si="89"/>
        <v>3.410000000000001</v>
      </c>
      <c r="AM303" s="12">
        <f t="shared" si="90"/>
        <v>513.74300000000005</v>
      </c>
    </row>
    <row r="304" spans="1:42" x14ac:dyDescent="0.25">
      <c r="A304">
        <v>99996</v>
      </c>
      <c r="B304" t="s">
        <v>291</v>
      </c>
      <c r="C304" s="13">
        <v>434782</v>
      </c>
      <c r="D304" s="13">
        <v>88033</v>
      </c>
      <c r="E304" s="13">
        <v>60897</v>
      </c>
      <c r="F304" s="13">
        <v>249736</v>
      </c>
      <c r="G304" s="13">
        <v>93824</v>
      </c>
      <c r="H304" s="13">
        <v>120555</v>
      </c>
      <c r="J304" s="13">
        <v>448493</v>
      </c>
      <c r="K304" s="13">
        <v>72563</v>
      </c>
      <c r="L304" s="13">
        <v>39167</v>
      </c>
      <c r="M304" s="13">
        <v>243109</v>
      </c>
      <c r="N304" s="13">
        <v>88341</v>
      </c>
      <c r="O304" s="13">
        <v>124998</v>
      </c>
      <c r="Q304" s="3">
        <f t="shared" si="73"/>
        <v>-13.711</v>
      </c>
      <c r="R304" s="3">
        <f t="shared" si="74"/>
        <v>15.47</v>
      </c>
      <c r="S304" s="3">
        <f t="shared" si="75"/>
        <v>21.73</v>
      </c>
      <c r="T304" s="3">
        <f t="shared" si="76"/>
        <v>5.4829999999999997</v>
      </c>
      <c r="U304" s="3"/>
      <c r="V304" s="3">
        <f t="shared" si="77"/>
        <v>6.6269999999999998</v>
      </c>
      <c r="W304" s="3">
        <f t="shared" si="78"/>
        <v>-4.4429999999999996</v>
      </c>
      <c r="Y304" s="3">
        <f t="shared" si="79"/>
        <v>28.972000000000001</v>
      </c>
      <c r="Z304" s="3">
        <f t="shared" si="80"/>
        <v>2.1840000000000002</v>
      </c>
      <c r="AA304" s="3">
        <f t="shared" si="81"/>
        <v>31.156000000000006</v>
      </c>
      <c r="AB304" s="3"/>
      <c r="AC304" s="2" t="str">
        <f t="shared" si="82"/>
        <v>2001-04</v>
      </c>
      <c r="AD304" s="9">
        <f t="shared" si="83"/>
        <v>321.21000000000004</v>
      </c>
      <c r="AE304" s="9">
        <f t="shared" si="84"/>
        <v>138.53299999999999</v>
      </c>
      <c r="AF304" s="9">
        <f t="shared" si="85"/>
        <v>459.74299999999999</v>
      </c>
      <c r="AG304" s="9"/>
      <c r="AH304" s="10">
        <v>36982</v>
      </c>
      <c r="AI304" s="9">
        <f t="shared" si="86"/>
        <v>-77.042000000000002</v>
      </c>
      <c r="AJ304" s="9">
        <f t="shared" si="87"/>
        <v>167.5</v>
      </c>
      <c r="AK304" s="9">
        <f t="shared" si="88"/>
        <v>222.65100000000001</v>
      </c>
      <c r="AL304" s="9">
        <f t="shared" si="89"/>
        <v>8.1009999999999991</v>
      </c>
      <c r="AM304" s="12">
        <f t="shared" si="90"/>
        <v>536.78499999999997</v>
      </c>
    </row>
    <row r="305" spans="1:39" x14ac:dyDescent="0.25">
      <c r="A305">
        <v>99996</v>
      </c>
      <c r="B305" t="s">
        <v>292</v>
      </c>
      <c r="C305" s="13">
        <v>464403</v>
      </c>
      <c r="D305" s="13">
        <v>85083</v>
      </c>
      <c r="E305" s="13">
        <v>84445</v>
      </c>
      <c r="F305" s="13">
        <v>276905</v>
      </c>
      <c r="G305" s="13">
        <v>101383</v>
      </c>
      <c r="H305" s="13">
        <v>135478</v>
      </c>
      <c r="J305" s="13">
        <v>461327</v>
      </c>
      <c r="K305" s="13">
        <v>78133</v>
      </c>
      <c r="L305" s="13">
        <v>51013</v>
      </c>
      <c r="M305" s="13">
        <v>259584</v>
      </c>
      <c r="N305" s="13">
        <v>99116</v>
      </c>
      <c r="O305" s="13">
        <v>143225</v>
      </c>
      <c r="Q305" s="3">
        <f t="shared" si="73"/>
        <v>3.0760000000000001</v>
      </c>
      <c r="R305" s="3">
        <f t="shared" si="74"/>
        <v>6.95</v>
      </c>
      <c r="S305" s="3">
        <f t="shared" si="75"/>
        <v>33.432000000000002</v>
      </c>
      <c r="T305" s="3">
        <f t="shared" si="76"/>
        <v>2.2669999999999999</v>
      </c>
      <c r="U305" s="3"/>
      <c r="V305" s="3">
        <f t="shared" si="77"/>
        <v>17.321000000000002</v>
      </c>
      <c r="W305" s="3">
        <f t="shared" si="78"/>
        <v>-7.7469999999999999</v>
      </c>
      <c r="Y305" s="3">
        <f t="shared" si="79"/>
        <v>45.725000000000001</v>
      </c>
      <c r="Z305" s="3">
        <f t="shared" si="80"/>
        <v>9.5740000000000016</v>
      </c>
      <c r="AA305" s="3">
        <f t="shared" si="81"/>
        <v>55.299000000000007</v>
      </c>
      <c r="AB305" s="3"/>
      <c r="AC305" s="2" t="str">
        <f t="shared" si="82"/>
        <v>2001-05</v>
      </c>
      <c r="AD305" s="9">
        <f t="shared" si="83"/>
        <v>347.80200000000002</v>
      </c>
      <c r="AE305" s="9">
        <f t="shared" si="84"/>
        <v>133.48800000000003</v>
      </c>
      <c r="AF305" s="9">
        <f t="shared" si="85"/>
        <v>481.28999999999996</v>
      </c>
      <c r="AG305" s="9"/>
      <c r="AH305" s="10">
        <v>37012</v>
      </c>
      <c r="AI305" s="9">
        <f t="shared" si="86"/>
        <v>-66.948000000000008</v>
      </c>
      <c r="AJ305" s="9">
        <f t="shared" si="87"/>
        <v>160.57899999999998</v>
      </c>
      <c r="AK305" s="9">
        <f t="shared" si="88"/>
        <v>248.40600000000001</v>
      </c>
      <c r="AL305" s="9">
        <f t="shared" si="89"/>
        <v>5.7650000000000006</v>
      </c>
      <c r="AM305" s="12">
        <f t="shared" si="90"/>
        <v>548.23799999999994</v>
      </c>
    </row>
    <row r="306" spans="1:39" x14ac:dyDescent="0.25">
      <c r="A306">
        <v>99996</v>
      </c>
      <c r="B306" t="s">
        <v>293</v>
      </c>
      <c r="C306" s="13">
        <v>391897</v>
      </c>
      <c r="D306" s="13">
        <v>91203</v>
      </c>
      <c r="E306" s="13">
        <v>66954</v>
      </c>
      <c r="F306" s="13">
        <v>259622</v>
      </c>
      <c r="G306" s="13">
        <v>101950</v>
      </c>
      <c r="H306" s="13">
        <v>119764</v>
      </c>
      <c r="J306" s="13">
        <v>395342</v>
      </c>
      <c r="K306" s="13">
        <v>74297</v>
      </c>
      <c r="L306" s="13">
        <v>51928</v>
      </c>
      <c r="M306" s="13">
        <v>249184</v>
      </c>
      <c r="N306" s="13">
        <v>100902</v>
      </c>
      <c r="O306" s="13">
        <v>126306</v>
      </c>
      <c r="Q306" s="3">
        <f t="shared" si="73"/>
        <v>-3.4449999999999998</v>
      </c>
      <c r="R306" s="3">
        <f t="shared" si="74"/>
        <v>16.905999999999999</v>
      </c>
      <c r="S306" s="3">
        <f t="shared" si="75"/>
        <v>15.026</v>
      </c>
      <c r="T306" s="3">
        <f t="shared" si="76"/>
        <v>1.048</v>
      </c>
      <c r="U306" s="3"/>
      <c r="V306" s="3">
        <f t="shared" si="77"/>
        <v>10.438000000000001</v>
      </c>
      <c r="W306" s="3">
        <f t="shared" si="78"/>
        <v>-6.5419999999999998</v>
      </c>
      <c r="Y306" s="3">
        <f t="shared" si="79"/>
        <v>29.534999999999997</v>
      </c>
      <c r="Z306" s="3">
        <f t="shared" si="80"/>
        <v>3.8960000000000008</v>
      </c>
      <c r="AA306" s="3">
        <f t="shared" si="81"/>
        <v>33.430999999999997</v>
      </c>
      <c r="AB306" s="3"/>
      <c r="AC306" s="2" t="str">
        <f t="shared" si="82"/>
        <v>2001-06</v>
      </c>
      <c r="AD306" s="9">
        <f t="shared" si="83"/>
        <v>357.41300000000001</v>
      </c>
      <c r="AE306" s="9">
        <f t="shared" si="84"/>
        <v>123.417</v>
      </c>
      <c r="AF306" s="9">
        <f t="shared" si="85"/>
        <v>480.83</v>
      </c>
      <c r="AG306" s="9"/>
      <c r="AH306" s="10">
        <v>37043</v>
      </c>
      <c r="AI306" s="9">
        <f t="shared" si="86"/>
        <v>-52.461000000000006</v>
      </c>
      <c r="AJ306" s="9">
        <f t="shared" si="87"/>
        <v>171.01599999999999</v>
      </c>
      <c r="AK306" s="9">
        <f t="shared" si="88"/>
        <v>237.697</v>
      </c>
      <c r="AL306" s="9">
        <f t="shared" si="89"/>
        <v>1.1610000000000018</v>
      </c>
      <c r="AM306" s="12">
        <f t="shared" si="90"/>
        <v>533.29099999999994</v>
      </c>
    </row>
    <row r="307" spans="1:39" x14ac:dyDescent="0.25">
      <c r="A307">
        <v>99996</v>
      </c>
      <c r="B307" t="s">
        <v>294</v>
      </c>
      <c r="C307" s="13">
        <v>382161</v>
      </c>
      <c r="D307" s="13">
        <v>85388</v>
      </c>
      <c r="E307" s="13">
        <v>54013</v>
      </c>
      <c r="F307" s="13">
        <v>244887</v>
      </c>
      <c r="G307" s="13">
        <v>91585</v>
      </c>
      <c r="H307" s="13">
        <v>114292</v>
      </c>
      <c r="J307" s="13">
        <v>393655</v>
      </c>
      <c r="K307" s="13">
        <v>72912</v>
      </c>
      <c r="L307" s="13">
        <v>39086</v>
      </c>
      <c r="M307" s="13">
        <v>233412</v>
      </c>
      <c r="N307" s="13">
        <v>85956</v>
      </c>
      <c r="O307" s="13">
        <v>120632</v>
      </c>
      <c r="Q307" s="3">
        <f t="shared" si="73"/>
        <v>-11.494</v>
      </c>
      <c r="R307" s="3">
        <f t="shared" si="74"/>
        <v>12.476000000000001</v>
      </c>
      <c r="S307" s="3">
        <f t="shared" si="75"/>
        <v>14.927</v>
      </c>
      <c r="T307" s="3">
        <f t="shared" si="76"/>
        <v>5.6289999999999996</v>
      </c>
      <c r="U307" s="3"/>
      <c r="V307" s="3">
        <f t="shared" si="77"/>
        <v>11.475</v>
      </c>
      <c r="W307" s="3">
        <f t="shared" si="78"/>
        <v>-6.34</v>
      </c>
      <c r="Y307" s="3">
        <f t="shared" si="79"/>
        <v>21.538</v>
      </c>
      <c r="Z307" s="3">
        <f t="shared" si="80"/>
        <v>5.1349999999999998</v>
      </c>
      <c r="AA307" s="3">
        <f t="shared" si="81"/>
        <v>26.672999999999998</v>
      </c>
      <c r="AB307" s="3"/>
      <c r="AC307" s="2" t="str">
        <f t="shared" si="82"/>
        <v>2001-07</v>
      </c>
      <c r="AD307" s="9">
        <f t="shared" si="83"/>
        <v>370.98199999999997</v>
      </c>
      <c r="AE307" s="9">
        <f t="shared" si="84"/>
        <v>128.47</v>
      </c>
      <c r="AF307" s="9">
        <f t="shared" si="85"/>
        <v>499.45199999999994</v>
      </c>
      <c r="AG307" s="9"/>
      <c r="AH307" s="10">
        <v>37073</v>
      </c>
      <c r="AI307" s="9">
        <f t="shared" si="86"/>
        <v>-57.894000000000005</v>
      </c>
      <c r="AJ307" s="9">
        <f t="shared" si="87"/>
        <v>173.31399999999999</v>
      </c>
      <c r="AK307" s="9">
        <f t="shared" si="88"/>
        <v>242.232</v>
      </c>
      <c r="AL307" s="9">
        <f t="shared" si="89"/>
        <v>13.33</v>
      </c>
      <c r="AM307" s="12">
        <f t="shared" si="90"/>
        <v>557.346</v>
      </c>
    </row>
    <row r="308" spans="1:39" x14ac:dyDescent="0.25">
      <c r="A308">
        <v>99996</v>
      </c>
      <c r="B308" t="s">
        <v>295</v>
      </c>
      <c r="C308" s="13">
        <v>426754</v>
      </c>
      <c r="D308" s="13">
        <v>99946</v>
      </c>
      <c r="E308" s="13">
        <v>57739</v>
      </c>
      <c r="F308" s="13">
        <v>247297</v>
      </c>
      <c r="G308" s="13">
        <v>88714</v>
      </c>
      <c r="H308" s="13">
        <v>96415</v>
      </c>
      <c r="J308" s="13">
        <v>421918</v>
      </c>
      <c r="K308" s="13">
        <v>87910</v>
      </c>
      <c r="L308" s="13">
        <v>45028</v>
      </c>
      <c r="M308" s="13">
        <v>239594</v>
      </c>
      <c r="N308" s="13">
        <v>78179</v>
      </c>
      <c r="O308" s="13">
        <v>98520</v>
      </c>
      <c r="Q308" s="3">
        <f t="shared" si="73"/>
        <v>4.8360000000000003</v>
      </c>
      <c r="R308" s="3">
        <f t="shared" si="74"/>
        <v>12.036</v>
      </c>
      <c r="S308" s="3">
        <f t="shared" si="75"/>
        <v>12.711</v>
      </c>
      <c r="T308" s="3">
        <f t="shared" si="76"/>
        <v>10.535</v>
      </c>
      <c r="U308" s="3"/>
      <c r="V308" s="3">
        <f t="shared" si="77"/>
        <v>7.7030000000000003</v>
      </c>
      <c r="W308" s="3">
        <f t="shared" si="78"/>
        <v>-2.105</v>
      </c>
      <c r="Y308" s="3">
        <f t="shared" si="79"/>
        <v>40.117999999999995</v>
      </c>
      <c r="Z308" s="3">
        <f t="shared" si="80"/>
        <v>5.5980000000000008</v>
      </c>
      <c r="AA308" s="3">
        <f t="shared" si="81"/>
        <v>45.716000000000001</v>
      </c>
      <c r="AB308" s="3"/>
      <c r="AC308" s="2" t="str">
        <f t="shared" si="82"/>
        <v>2001-08</v>
      </c>
      <c r="AD308" s="9">
        <f t="shared" si="83"/>
        <v>375.64799999999997</v>
      </c>
      <c r="AE308" s="9">
        <f t="shared" si="84"/>
        <v>109.471</v>
      </c>
      <c r="AF308" s="9">
        <f t="shared" si="85"/>
        <v>485.11899999999997</v>
      </c>
      <c r="AG308" s="9"/>
      <c r="AH308" s="10">
        <v>37104</v>
      </c>
      <c r="AI308" s="9">
        <f t="shared" si="86"/>
        <v>-52.945000000000007</v>
      </c>
      <c r="AJ308" s="9">
        <f t="shared" si="87"/>
        <v>169.03899999999999</v>
      </c>
      <c r="AK308" s="9">
        <f t="shared" si="88"/>
        <v>232.96</v>
      </c>
      <c r="AL308" s="9">
        <f t="shared" si="89"/>
        <v>26.593999999999998</v>
      </c>
      <c r="AM308" s="12">
        <f t="shared" si="90"/>
        <v>538.06399999999996</v>
      </c>
    </row>
    <row r="309" spans="1:39" x14ac:dyDescent="0.25">
      <c r="A309">
        <v>99996</v>
      </c>
      <c r="B309" t="s">
        <v>296</v>
      </c>
      <c r="C309" s="13">
        <v>388087</v>
      </c>
      <c r="D309" s="13">
        <v>110430</v>
      </c>
      <c r="E309" s="13">
        <v>45728</v>
      </c>
      <c r="F309" s="13">
        <v>193492</v>
      </c>
      <c r="G309" s="13">
        <v>87083</v>
      </c>
      <c r="H309" s="13">
        <v>99588</v>
      </c>
      <c r="J309" s="13">
        <v>389221</v>
      </c>
      <c r="K309" s="13">
        <v>102602</v>
      </c>
      <c r="L309" s="13">
        <v>35546</v>
      </c>
      <c r="M309" s="13">
        <v>205024</v>
      </c>
      <c r="N309" s="13">
        <v>76757</v>
      </c>
      <c r="O309" s="13">
        <v>97257</v>
      </c>
      <c r="Q309" s="3">
        <f t="shared" si="73"/>
        <v>-1.1339999999999999</v>
      </c>
      <c r="R309" s="3">
        <f t="shared" si="74"/>
        <v>7.8280000000000003</v>
      </c>
      <c r="S309" s="3">
        <f t="shared" si="75"/>
        <v>10.182</v>
      </c>
      <c r="T309" s="3">
        <f t="shared" si="76"/>
        <v>10.326000000000001</v>
      </c>
      <c r="U309" s="3"/>
      <c r="V309" s="3">
        <f t="shared" si="77"/>
        <v>-11.532</v>
      </c>
      <c r="W309" s="3">
        <f t="shared" si="78"/>
        <v>2.331</v>
      </c>
      <c r="Y309" s="3">
        <f t="shared" si="79"/>
        <v>27.202000000000002</v>
      </c>
      <c r="Z309" s="3">
        <f t="shared" si="80"/>
        <v>-9.2010000000000005</v>
      </c>
      <c r="AA309" s="3">
        <f t="shared" si="81"/>
        <v>18.001000000000001</v>
      </c>
      <c r="AB309" s="3"/>
      <c r="AC309" s="2" t="str">
        <f t="shared" si="82"/>
        <v>2001-09</v>
      </c>
      <c r="AD309" s="9">
        <f t="shared" si="83"/>
        <v>381.214</v>
      </c>
      <c r="AE309" s="9">
        <f t="shared" si="84"/>
        <v>81.944000000000017</v>
      </c>
      <c r="AF309" s="9">
        <f t="shared" si="85"/>
        <v>463.15799999999996</v>
      </c>
      <c r="AG309" s="9"/>
      <c r="AH309" s="10">
        <v>37135</v>
      </c>
      <c r="AI309" s="9">
        <f t="shared" si="86"/>
        <v>-45.272000000000006</v>
      </c>
      <c r="AJ309" s="9">
        <f t="shared" si="87"/>
        <v>160.47</v>
      </c>
      <c r="AK309" s="9">
        <f t="shared" si="88"/>
        <v>229.38</v>
      </c>
      <c r="AL309" s="9">
        <f t="shared" si="89"/>
        <v>36.636000000000003</v>
      </c>
      <c r="AM309" s="12">
        <f t="shared" si="90"/>
        <v>508.42999999999995</v>
      </c>
    </row>
    <row r="310" spans="1:39" x14ac:dyDescent="0.25">
      <c r="A310">
        <v>99996</v>
      </c>
      <c r="B310" t="s">
        <v>297</v>
      </c>
      <c r="C310" s="13">
        <v>487602</v>
      </c>
      <c r="D310" s="13">
        <v>125029</v>
      </c>
      <c r="E310" s="13">
        <v>67432</v>
      </c>
      <c r="F310" s="13">
        <v>255679</v>
      </c>
      <c r="G310" s="13">
        <v>94591</v>
      </c>
      <c r="H310" s="13">
        <v>105799</v>
      </c>
      <c r="J310" s="13">
        <v>471879</v>
      </c>
      <c r="K310" s="13">
        <v>97752</v>
      </c>
      <c r="L310" s="13">
        <v>53841</v>
      </c>
      <c r="M310" s="13">
        <v>248418</v>
      </c>
      <c r="N310" s="13">
        <v>95345</v>
      </c>
      <c r="O310" s="13">
        <v>108896</v>
      </c>
      <c r="Q310" s="3">
        <f t="shared" si="73"/>
        <v>15.723000000000001</v>
      </c>
      <c r="R310" s="3">
        <f t="shared" si="74"/>
        <v>27.277000000000001</v>
      </c>
      <c r="S310" s="3">
        <f t="shared" si="75"/>
        <v>13.590999999999999</v>
      </c>
      <c r="T310" s="3">
        <f t="shared" si="76"/>
        <v>-0.754</v>
      </c>
      <c r="U310" s="3"/>
      <c r="V310" s="3">
        <f t="shared" si="77"/>
        <v>7.2610000000000001</v>
      </c>
      <c r="W310" s="3">
        <f t="shared" si="78"/>
        <v>-3.097</v>
      </c>
      <c r="Y310" s="3">
        <f t="shared" si="79"/>
        <v>55.837000000000003</v>
      </c>
      <c r="Z310" s="3">
        <f t="shared" si="80"/>
        <v>4.1639999999999997</v>
      </c>
      <c r="AA310" s="3">
        <f t="shared" si="81"/>
        <v>60.001000000000005</v>
      </c>
      <c r="AB310" s="3"/>
      <c r="AC310" s="2" t="str">
        <f t="shared" si="82"/>
        <v>2001-10</v>
      </c>
      <c r="AD310" s="9">
        <f t="shared" si="83"/>
        <v>412.137</v>
      </c>
      <c r="AE310" s="9">
        <f t="shared" si="84"/>
        <v>67.156999999999996</v>
      </c>
      <c r="AF310" s="9">
        <f t="shared" si="85"/>
        <v>479.29399999999998</v>
      </c>
      <c r="AG310" s="9"/>
      <c r="AH310" s="10">
        <v>37165</v>
      </c>
      <c r="AI310" s="9">
        <f t="shared" si="86"/>
        <v>-26.560000000000002</v>
      </c>
      <c r="AJ310" s="9">
        <f t="shared" si="87"/>
        <v>169.56099999999998</v>
      </c>
      <c r="AK310" s="9">
        <f t="shared" si="88"/>
        <v>229.58300000000003</v>
      </c>
      <c r="AL310" s="9">
        <f t="shared" si="89"/>
        <v>39.553000000000004</v>
      </c>
      <c r="AM310" s="12">
        <f t="shared" si="90"/>
        <v>505.85399999999998</v>
      </c>
    </row>
    <row r="311" spans="1:39" x14ac:dyDescent="0.25">
      <c r="A311">
        <v>99996</v>
      </c>
      <c r="B311" t="s">
        <v>298</v>
      </c>
      <c r="C311" s="13">
        <v>589043</v>
      </c>
      <c r="D311" s="13">
        <v>120631</v>
      </c>
      <c r="E311" s="13">
        <v>66364</v>
      </c>
      <c r="F311" s="13">
        <v>241311</v>
      </c>
      <c r="G311" s="13">
        <v>96131</v>
      </c>
      <c r="H311" s="13">
        <v>108043</v>
      </c>
      <c r="J311" s="13">
        <v>576681</v>
      </c>
      <c r="K311" s="13">
        <v>106558</v>
      </c>
      <c r="L311" s="13">
        <v>49581</v>
      </c>
      <c r="M311" s="13">
        <v>228139</v>
      </c>
      <c r="N311" s="13">
        <v>97235</v>
      </c>
      <c r="O311" s="13">
        <v>105248</v>
      </c>
      <c r="Q311" s="3">
        <f t="shared" si="73"/>
        <v>12.362</v>
      </c>
      <c r="R311" s="3">
        <f t="shared" si="74"/>
        <v>14.073</v>
      </c>
      <c r="S311" s="3">
        <f t="shared" si="75"/>
        <v>16.783000000000001</v>
      </c>
      <c r="T311" s="3">
        <f t="shared" si="76"/>
        <v>-1.1040000000000001</v>
      </c>
      <c r="U311" s="3"/>
      <c r="V311" s="3">
        <f t="shared" si="77"/>
        <v>13.172000000000001</v>
      </c>
      <c r="W311" s="3">
        <f t="shared" si="78"/>
        <v>2.7949999999999999</v>
      </c>
      <c r="Y311" s="3">
        <f t="shared" si="79"/>
        <v>42.114000000000004</v>
      </c>
      <c r="Z311" s="3">
        <f t="shared" si="80"/>
        <v>15.967000000000001</v>
      </c>
      <c r="AA311" s="3">
        <f t="shared" si="81"/>
        <v>58.081000000000003</v>
      </c>
      <c r="AB311" s="3"/>
      <c r="AC311" s="2" t="str">
        <f t="shared" si="82"/>
        <v>2001-11</v>
      </c>
      <c r="AD311" s="9">
        <f t="shared" si="83"/>
        <v>422.803</v>
      </c>
      <c r="AE311" s="9">
        <f t="shared" si="84"/>
        <v>69.066999999999993</v>
      </c>
      <c r="AF311" s="9">
        <f t="shared" si="85"/>
        <v>491.87</v>
      </c>
      <c r="AG311" s="9"/>
      <c r="AH311" s="10">
        <v>37196</v>
      </c>
      <c r="AI311" s="9">
        <f t="shared" si="86"/>
        <v>-9.1999999999998749E-2</v>
      </c>
      <c r="AJ311" s="9">
        <f t="shared" si="87"/>
        <v>165.29100000000003</v>
      </c>
      <c r="AK311" s="9">
        <f t="shared" si="88"/>
        <v>227.34700000000004</v>
      </c>
      <c r="AL311" s="9">
        <f t="shared" si="89"/>
        <v>30.257000000000001</v>
      </c>
      <c r="AM311" s="12">
        <f t="shared" si="90"/>
        <v>491.96199999999999</v>
      </c>
    </row>
    <row r="312" spans="1:39" x14ac:dyDescent="0.25">
      <c r="A312">
        <v>99996</v>
      </c>
      <c r="B312" t="s">
        <v>299</v>
      </c>
      <c r="C312" s="13">
        <v>375852</v>
      </c>
      <c r="D312" s="13">
        <v>125184</v>
      </c>
      <c r="E312" s="13">
        <v>52470</v>
      </c>
      <c r="F312" s="13">
        <v>239276</v>
      </c>
      <c r="G312" s="13">
        <v>69992</v>
      </c>
      <c r="H312" s="13">
        <v>88033</v>
      </c>
      <c r="J312" s="13">
        <v>367035</v>
      </c>
      <c r="K312" s="13">
        <v>116555</v>
      </c>
      <c r="L312" s="13">
        <v>38810</v>
      </c>
      <c r="M312" s="13">
        <v>225992</v>
      </c>
      <c r="N312" s="13">
        <v>70938</v>
      </c>
      <c r="O312" s="13">
        <v>96988</v>
      </c>
      <c r="Q312" s="3">
        <f t="shared" si="73"/>
        <v>8.8170000000000002</v>
      </c>
      <c r="R312" s="3">
        <f t="shared" si="74"/>
        <v>8.6289999999999996</v>
      </c>
      <c r="S312" s="3">
        <f t="shared" si="75"/>
        <v>13.66</v>
      </c>
      <c r="T312" s="3">
        <f t="shared" si="76"/>
        <v>-0.94599999999999995</v>
      </c>
      <c r="U312" s="3"/>
      <c r="V312" s="3">
        <f t="shared" si="77"/>
        <v>13.284000000000001</v>
      </c>
      <c r="W312" s="3">
        <f t="shared" si="78"/>
        <v>-8.9550000000000001</v>
      </c>
      <c r="Y312" s="3">
        <f t="shared" si="79"/>
        <v>30.159999999999997</v>
      </c>
      <c r="Z312" s="3">
        <f t="shared" si="80"/>
        <v>4.3290000000000006</v>
      </c>
      <c r="AA312" s="3">
        <f t="shared" si="81"/>
        <v>34.488999999999997</v>
      </c>
      <c r="AB312" s="3"/>
      <c r="AC312" s="2" t="str">
        <f t="shared" si="82"/>
        <v>2001-12</v>
      </c>
      <c r="AD312" s="9">
        <f t="shared" si="83"/>
        <v>434.96100000000001</v>
      </c>
      <c r="AE312" s="9">
        <f t="shared" si="84"/>
        <v>66.277000000000001</v>
      </c>
      <c r="AF312" s="9">
        <f t="shared" si="85"/>
        <v>501.238</v>
      </c>
      <c r="AG312" s="9"/>
      <c r="AH312" s="10">
        <v>37226</v>
      </c>
      <c r="AI312" s="9">
        <f t="shared" si="86"/>
        <v>18.514000000000003</v>
      </c>
      <c r="AJ312" s="9">
        <f t="shared" si="87"/>
        <v>163.99</v>
      </c>
      <c r="AK312" s="9">
        <f t="shared" si="88"/>
        <v>221.95500000000001</v>
      </c>
      <c r="AL312" s="9">
        <f t="shared" si="89"/>
        <v>30.501999999999999</v>
      </c>
      <c r="AM312" s="12">
        <f t="shared" si="90"/>
        <v>482.72399999999999</v>
      </c>
    </row>
    <row r="313" spans="1:39" x14ac:dyDescent="0.25">
      <c r="A313">
        <v>99996</v>
      </c>
      <c r="B313" t="s">
        <v>300</v>
      </c>
      <c r="C313" s="13">
        <v>529951</v>
      </c>
      <c r="D313" s="13">
        <v>125770</v>
      </c>
      <c r="E313" s="13">
        <v>59067</v>
      </c>
      <c r="F313" s="13">
        <v>263348</v>
      </c>
      <c r="G313" s="13">
        <v>94681</v>
      </c>
      <c r="H313" s="13">
        <v>103518</v>
      </c>
      <c r="J313" s="13">
        <v>545229</v>
      </c>
      <c r="K313" s="13">
        <v>118063</v>
      </c>
      <c r="L313" s="13">
        <v>43815</v>
      </c>
      <c r="M313" s="13">
        <v>254755</v>
      </c>
      <c r="N313" s="13">
        <v>100220</v>
      </c>
      <c r="O313" s="13">
        <v>99570</v>
      </c>
      <c r="Q313" s="3">
        <f t="shared" si="73"/>
        <v>-15.278</v>
      </c>
      <c r="R313" s="3">
        <f t="shared" si="74"/>
        <v>7.7069999999999999</v>
      </c>
      <c r="S313" s="3">
        <f t="shared" si="75"/>
        <v>15.252000000000001</v>
      </c>
      <c r="T313" s="3">
        <f t="shared" si="76"/>
        <v>-5.5389999999999997</v>
      </c>
      <c r="U313" s="3"/>
      <c r="V313" s="3">
        <f t="shared" si="77"/>
        <v>8.593</v>
      </c>
      <c r="W313" s="3">
        <f t="shared" si="78"/>
        <v>3.948</v>
      </c>
      <c r="Y313" s="3">
        <f t="shared" si="79"/>
        <v>2.1420000000000003</v>
      </c>
      <c r="Z313" s="3">
        <f t="shared" si="80"/>
        <v>12.541</v>
      </c>
      <c r="AA313" s="3">
        <f t="shared" si="81"/>
        <v>14.683</v>
      </c>
      <c r="AB313" s="3"/>
      <c r="AC313" s="2" t="str">
        <f t="shared" si="82"/>
        <v>2002-01</v>
      </c>
      <c r="AD313" s="9">
        <f t="shared" si="83"/>
        <v>420.66899999999993</v>
      </c>
      <c r="AE313" s="9">
        <f t="shared" si="84"/>
        <v>57.885000000000005</v>
      </c>
      <c r="AF313" s="9">
        <f t="shared" si="85"/>
        <v>478.55400000000003</v>
      </c>
      <c r="AG313" s="9"/>
      <c r="AH313" s="10">
        <v>37257</v>
      </c>
      <c r="AI313" s="9">
        <f t="shared" si="86"/>
        <v>11.863000000000001</v>
      </c>
      <c r="AJ313" s="9">
        <f t="shared" si="87"/>
        <v>158.423</v>
      </c>
      <c r="AK313" s="9">
        <f t="shared" si="88"/>
        <v>223.49800000000002</v>
      </c>
      <c r="AL313" s="9">
        <f t="shared" si="89"/>
        <v>26.885000000000005</v>
      </c>
      <c r="AM313" s="12">
        <f t="shared" si="90"/>
        <v>466.69100000000003</v>
      </c>
    </row>
    <row r="314" spans="1:39" x14ac:dyDescent="0.25">
      <c r="A314">
        <v>99996</v>
      </c>
      <c r="B314" t="s">
        <v>301</v>
      </c>
      <c r="C314" s="13">
        <v>455826</v>
      </c>
      <c r="D314" s="13">
        <v>115033</v>
      </c>
      <c r="E314" s="13">
        <v>53809</v>
      </c>
      <c r="F314" s="13">
        <v>267128</v>
      </c>
      <c r="G314" s="13">
        <v>90167</v>
      </c>
      <c r="H314" s="13">
        <v>95609</v>
      </c>
      <c r="J314" s="13">
        <v>446978</v>
      </c>
      <c r="K314" s="13">
        <v>108685</v>
      </c>
      <c r="L314" s="13">
        <v>46171</v>
      </c>
      <c r="M314" s="13">
        <v>264938</v>
      </c>
      <c r="N314" s="13">
        <v>87915</v>
      </c>
      <c r="O314" s="13">
        <v>98287</v>
      </c>
      <c r="Q314" s="3">
        <f t="shared" si="73"/>
        <v>8.8480000000000008</v>
      </c>
      <c r="R314" s="3">
        <f t="shared" si="74"/>
        <v>6.3479999999999999</v>
      </c>
      <c r="S314" s="3">
        <f t="shared" si="75"/>
        <v>7.6379999999999999</v>
      </c>
      <c r="T314" s="3">
        <f t="shared" si="76"/>
        <v>2.2519999999999998</v>
      </c>
      <c r="U314" s="3"/>
      <c r="V314" s="3">
        <f t="shared" si="77"/>
        <v>2.19</v>
      </c>
      <c r="W314" s="3">
        <f t="shared" si="78"/>
        <v>-2.6779999999999999</v>
      </c>
      <c r="Y314" s="3">
        <f t="shared" si="79"/>
        <v>25.086000000000002</v>
      </c>
      <c r="Z314" s="3">
        <f t="shared" si="80"/>
        <v>-0.48799999999999999</v>
      </c>
      <c r="AA314" s="3">
        <f t="shared" si="81"/>
        <v>24.598000000000003</v>
      </c>
      <c r="AB314" s="3"/>
      <c r="AC314" s="2" t="str">
        <f t="shared" si="82"/>
        <v>2002-02</v>
      </c>
      <c r="AD314" s="9">
        <f t="shared" si="83"/>
        <v>398.27799999999996</v>
      </c>
      <c r="AE314" s="9">
        <f t="shared" si="84"/>
        <v>51.393000000000001</v>
      </c>
      <c r="AF314" s="9">
        <f t="shared" si="85"/>
        <v>449.67100000000005</v>
      </c>
      <c r="AG314" s="9"/>
      <c r="AH314" s="10">
        <v>37288</v>
      </c>
      <c r="AI314" s="9">
        <f t="shared" si="86"/>
        <v>13.497000000000003</v>
      </c>
      <c r="AJ314" s="9">
        <f t="shared" si="87"/>
        <v>155.244</v>
      </c>
      <c r="AK314" s="9">
        <f t="shared" si="88"/>
        <v>201.63500000000005</v>
      </c>
      <c r="AL314" s="9">
        <f t="shared" si="89"/>
        <v>27.902000000000005</v>
      </c>
      <c r="AM314" s="12">
        <f t="shared" si="90"/>
        <v>436.17400000000004</v>
      </c>
    </row>
    <row r="315" spans="1:39" x14ac:dyDescent="0.25">
      <c r="A315">
        <v>99996</v>
      </c>
      <c r="B315" t="s">
        <v>302</v>
      </c>
      <c r="C315" s="13">
        <v>583760</v>
      </c>
      <c r="D315" s="13">
        <v>137443</v>
      </c>
      <c r="E315" s="13">
        <v>82434</v>
      </c>
      <c r="F315" s="13">
        <v>293998</v>
      </c>
      <c r="G315" s="13">
        <v>109872</v>
      </c>
      <c r="H315" s="13">
        <v>116719</v>
      </c>
      <c r="J315" s="13">
        <v>564428</v>
      </c>
      <c r="K315" s="13">
        <v>117883</v>
      </c>
      <c r="L315" s="13">
        <v>55902</v>
      </c>
      <c r="M315" s="13">
        <v>287126</v>
      </c>
      <c r="N315" s="13">
        <v>102541</v>
      </c>
      <c r="O315" s="13">
        <v>111045</v>
      </c>
      <c r="Q315" s="3">
        <f t="shared" si="73"/>
        <v>19.332000000000001</v>
      </c>
      <c r="R315" s="3">
        <f t="shared" si="74"/>
        <v>19.559999999999999</v>
      </c>
      <c r="S315" s="3">
        <f t="shared" si="75"/>
        <v>26.532</v>
      </c>
      <c r="T315" s="3">
        <f t="shared" si="76"/>
        <v>7.3310000000000004</v>
      </c>
      <c r="U315" s="3"/>
      <c r="V315" s="3">
        <f t="shared" si="77"/>
        <v>6.8719999999999999</v>
      </c>
      <c r="W315" s="3">
        <f t="shared" si="78"/>
        <v>5.6740000000000004</v>
      </c>
      <c r="Y315" s="3">
        <f t="shared" si="79"/>
        <v>72.754999999999995</v>
      </c>
      <c r="Z315" s="3">
        <f t="shared" si="80"/>
        <v>12.545999999999999</v>
      </c>
      <c r="AA315" s="3">
        <f t="shared" si="81"/>
        <v>85.301000000000002</v>
      </c>
      <c r="AB315" s="3"/>
      <c r="AC315" s="2" t="str">
        <f t="shared" si="82"/>
        <v>2002-03</v>
      </c>
      <c r="AD315" s="9">
        <f t="shared" si="83"/>
        <v>421.18399999999991</v>
      </c>
      <c r="AE315" s="9">
        <f t="shared" si="84"/>
        <v>66.245000000000005</v>
      </c>
      <c r="AF315" s="9">
        <f t="shared" si="85"/>
        <v>487.42900000000003</v>
      </c>
      <c r="AG315" s="9"/>
      <c r="AH315" s="10">
        <v>37316</v>
      </c>
      <c r="AI315" s="9">
        <f t="shared" si="86"/>
        <v>27.932000000000002</v>
      </c>
      <c r="AJ315" s="9">
        <f t="shared" si="87"/>
        <v>155.26000000000002</v>
      </c>
      <c r="AK315" s="9">
        <f t="shared" si="88"/>
        <v>201.46400000000003</v>
      </c>
      <c r="AL315" s="9">
        <f t="shared" si="89"/>
        <v>36.527999999999999</v>
      </c>
      <c r="AM315" s="12">
        <f t="shared" si="90"/>
        <v>459.49700000000001</v>
      </c>
    </row>
    <row r="316" spans="1:39" x14ac:dyDescent="0.25">
      <c r="A316">
        <v>99996</v>
      </c>
      <c r="B316" t="s">
        <v>303</v>
      </c>
      <c r="C316" s="13">
        <v>563822</v>
      </c>
      <c r="D316" s="13">
        <v>145612</v>
      </c>
      <c r="E316" s="13">
        <v>71798</v>
      </c>
      <c r="F316" s="13">
        <v>279834</v>
      </c>
      <c r="G316" s="13">
        <v>99876</v>
      </c>
      <c r="H316" s="13">
        <v>115294</v>
      </c>
      <c r="J316" s="13">
        <v>572656</v>
      </c>
      <c r="K316" s="13">
        <v>121189</v>
      </c>
      <c r="L316" s="13">
        <v>53947</v>
      </c>
      <c r="M316" s="13">
        <v>272090</v>
      </c>
      <c r="N316" s="13">
        <v>99482</v>
      </c>
      <c r="O316" s="13">
        <v>118441</v>
      </c>
      <c r="Q316" s="3">
        <f t="shared" si="73"/>
        <v>-8.8339999999999996</v>
      </c>
      <c r="R316" s="3">
        <f t="shared" si="74"/>
        <v>24.422999999999998</v>
      </c>
      <c r="S316" s="3">
        <f t="shared" si="75"/>
        <v>17.850999999999999</v>
      </c>
      <c r="T316" s="3">
        <f t="shared" si="76"/>
        <v>0.39400000000000002</v>
      </c>
      <c r="U316" s="3"/>
      <c r="V316" s="3">
        <f t="shared" si="77"/>
        <v>7.7439999999999998</v>
      </c>
      <c r="W316" s="3">
        <f t="shared" si="78"/>
        <v>-3.1469999999999998</v>
      </c>
      <c r="Y316" s="3">
        <f t="shared" si="79"/>
        <v>33.833999999999996</v>
      </c>
      <c r="Z316" s="3">
        <f t="shared" si="80"/>
        <v>4.5969999999999995</v>
      </c>
      <c r="AA316" s="3">
        <f t="shared" si="81"/>
        <v>38.430999999999997</v>
      </c>
      <c r="AB316" s="3"/>
      <c r="AC316" s="2" t="str">
        <f t="shared" si="82"/>
        <v>2002-04</v>
      </c>
      <c r="AD316" s="9">
        <f t="shared" si="83"/>
        <v>426.04599999999994</v>
      </c>
      <c r="AE316" s="9">
        <f t="shared" si="84"/>
        <v>68.658000000000001</v>
      </c>
      <c r="AF316" s="9">
        <f t="shared" si="85"/>
        <v>494.70399999999995</v>
      </c>
      <c r="AG316" s="9"/>
      <c r="AH316" s="10">
        <v>37347</v>
      </c>
      <c r="AI316" s="9">
        <f t="shared" si="86"/>
        <v>32.808999999999997</v>
      </c>
      <c r="AJ316" s="9">
        <f t="shared" si="87"/>
        <v>164.21300000000002</v>
      </c>
      <c r="AK316" s="9">
        <f t="shared" si="88"/>
        <v>197.58500000000004</v>
      </c>
      <c r="AL316" s="9">
        <f t="shared" si="89"/>
        <v>31.438999999999993</v>
      </c>
      <c r="AM316" s="12">
        <f t="shared" si="90"/>
        <v>461.89499999999998</v>
      </c>
    </row>
    <row r="317" spans="1:39" x14ac:dyDescent="0.25">
      <c r="A317">
        <v>99996</v>
      </c>
      <c r="B317" t="s">
        <v>304</v>
      </c>
      <c r="C317" s="13">
        <v>658689</v>
      </c>
      <c r="D317" s="13">
        <v>139430</v>
      </c>
      <c r="E317" s="13">
        <v>80191</v>
      </c>
      <c r="F317" s="13">
        <v>282362</v>
      </c>
      <c r="G317" s="13">
        <v>125354</v>
      </c>
      <c r="H317" s="13">
        <v>113650</v>
      </c>
      <c r="J317" s="13">
        <v>648162</v>
      </c>
      <c r="K317" s="13">
        <v>121063</v>
      </c>
      <c r="L317" s="13">
        <v>53547</v>
      </c>
      <c r="M317" s="13">
        <v>282677</v>
      </c>
      <c r="N317" s="13">
        <v>118029</v>
      </c>
      <c r="O317" s="13">
        <v>121465</v>
      </c>
      <c r="Q317" s="3">
        <f t="shared" si="73"/>
        <v>10.526999999999999</v>
      </c>
      <c r="R317" s="3">
        <f t="shared" si="74"/>
        <v>18.367000000000001</v>
      </c>
      <c r="S317" s="3">
        <f t="shared" si="75"/>
        <v>26.643999999999998</v>
      </c>
      <c r="T317" s="3">
        <f t="shared" si="76"/>
        <v>7.3250000000000002</v>
      </c>
      <c r="U317" s="3"/>
      <c r="V317" s="3">
        <f t="shared" si="77"/>
        <v>-0.315</v>
      </c>
      <c r="W317" s="3">
        <f t="shared" si="78"/>
        <v>-7.8150000000000004</v>
      </c>
      <c r="Y317" s="3">
        <f t="shared" si="79"/>
        <v>62.863</v>
      </c>
      <c r="Z317" s="3">
        <f t="shared" si="80"/>
        <v>-8.1300000000000008</v>
      </c>
      <c r="AA317" s="3">
        <f t="shared" si="81"/>
        <v>54.733000000000004</v>
      </c>
      <c r="AB317" s="3"/>
      <c r="AC317" s="2" t="str">
        <f t="shared" si="82"/>
        <v>2002-05</v>
      </c>
      <c r="AD317" s="9">
        <f t="shared" si="83"/>
        <v>443.18399999999997</v>
      </c>
      <c r="AE317" s="9">
        <f t="shared" si="84"/>
        <v>50.954000000000001</v>
      </c>
      <c r="AF317" s="9">
        <f t="shared" si="85"/>
        <v>494.13799999999998</v>
      </c>
      <c r="AG317" s="9"/>
      <c r="AH317" s="10">
        <v>37377</v>
      </c>
      <c r="AI317" s="9">
        <f t="shared" si="86"/>
        <v>40.26</v>
      </c>
      <c r="AJ317" s="9">
        <f t="shared" si="87"/>
        <v>175.63</v>
      </c>
      <c r="AK317" s="9">
        <f t="shared" si="88"/>
        <v>190.797</v>
      </c>
      <c r="AL317" s="9">
        <f t="shared" si="89"/>
        <v>36.497</v>
      </c>
      <c r="AM317" s="12">
        <f t="shared" si="90"/>
        <v>453.87799999999999</v>
      </c>
    </row>
    <row r="318" spans="1:39" x14ac:dyDescent="0.25">
      <c r="A318">
        <v>99996</v>
      </c>
      <c r="B318" t="s">
        <v>305</v>
      </c>
      <c r="C318" s="13">
        <v>570020</v>
      </c>
      <c r="D318" s="13">
        <v>133771</v>
      </c>
      <c r="E318" s="13">
        <v>70749</v>
      </c>
      <c r="F318" s="13">
        <v>256039</v>
      </c>
      <c r="G318" s="13">
        <v>118968</v>
      </c>
      <c r="H318" s="13">
        <v>111896</v>
      </c>
      <c r="J318" s="13">
        <v>555697</v>
      </c>
      <c r="K318" s="13">
        <v>121707</v>
      </c>
      <c r="L318" s="13">
        <v>49788</v>
      </c>
      <c r="M318" s="13">
        <v>252020</v>
      </c>
      <c r="N318" s="13">
        <v>113394</v>
      </c>
      <c r="O318" s="13">
        <v>116813</v>
      </c>
      <c r="Q318" s="3">
        <f t="shared" si="73"/>
        <v>14.323</v>
      </c>
      <c r="R318" s="3">
        <f t="shared" si="74"/>
        <v>12.064</v>
      </c>
      <c r="S318" s="3">
        <f t="shared" si="75"/>
        <v>20.960999999999999</v>
      </c>
      <c r="T318" s="3">
        <f t="shared" si="76"/>
        <v>5.5739999999999998</v>
      </c>
      <c r="U318" s="3"/>
      <c r="V318" s="3">
        <f t="shared" si="77"/>
        <v>4.0190000000000001</v>
      </c>
      <c r="W318" s="3">
        <f t="shared" si="78"/>
        <v>-4.9169999999999998</v>
      </c>
      <c r="Y318" s="3">
        <f t="shared" si="79"/>
        <v>52.921999999999997</v>
      </c>
      <c r="Z318" s="3">
        <f t="shared" si="80"/>
        <v>-0.89799999999999969</v>
      </c>
      <c r="AA318" s="3">
        <f t="shared" si="81"/>
        <v>52.023999999999994</v>
      </c>
      <c r="AB318" s="3"/>
      <c r="AC318" s="2" t="str">
        <f t="shared" si="82"/>
        <v>2002-06</v>
      </c>
      <c r="AD318" s="9">
        <f t="shared" si="83"/>
        <v>466.57100000000003</v>
      </c>
      <c r="AE318" s="9">
        <f t="shared" si="84"/>
        <v>46.16</v>
      </c>
      <c r="AF318" s="9">
        <f t="shared" si="85"/>
        <v>512.73099999999999</v>
      </c>
      <c r="AG318" s="9"/>
      <c r="AH318" s="10">
        <v>37408</v>
      </c>
      <c r="AI318" s="9">
        <f t="shared" si="86"/>
        <v>58.027999999999999</v>
      </c>
      <c r="AJ318" s="9">
        <f t="shared" si="87"/>
        <v>170.78799999999998</v>
      </c>
      <c r="AK318" s="9">
        <f t="shared" si="88"/>
        <v>196.73200000000003</v>
      </c>
      <c r="AL318" s="9">
        <f t="shared" si="89"/>
        <v>41.022999999999996</v>
      </c>
      <c r="AM318" s="12">
        <f t="shared" si="90"/>
        <v>454.70299999999997</v>
      </c>
    </row>
    <row r="319" spans="1:39" x14ac:dyDescent="0.25">
      <c r="A319">
        <v>99996</v>
      </c>
      <c r="B319" t="s">
        <v>306</v>
      </c>
      <c r="C319" s="13">
        <v>733113</v>
      </c>
      <c r="D319" s="13">
        <v>164425</v>
      </c>
      <c r="E319" s="13">
        <v>56690</v>
      </c>
      <c r="F319" s="13">
        <v>318232</v>
      </c>
      <c r="G319" s="13">
        <v>120870</v>
      </c>
      <c r="H319" s="13">
        <v>139362</v>
      </c>
      <c r="J319" s="13">
        <v>708755</v>
      </c>
      <c r="K319" s="13">
        <v>152609</v>
      </c>
      <c r="L319" s="13">
        <v>52772</v>
      </c>
      <c r="M319" s="13">
        <v>308575</v>
      </c>
      <c r="N319" s="13">
        <v>113148</v>
      </c>
      <c r="O319" s="13">
        <v>126011</v>
      </c>
      <c r="Q319" s="3">
        <f t="shared" si="73"/>
        <v>24.358000000000001</v>
      </c>
      <c r="R319" s="3">
        <f t="shared" si="74"/>
        <v>11.816000000000001</v>
      </c>
      <c r="S319" s="3">
        <f t="shared" si="75"/>
        <v>3.9180000000000001</v>
      </c>
      <c r="T319" s="3">
        <f t="shared" si="76"/>
        <v>7.7220000000000004</v>
      </c>
      <c r="U319" s="3"/>
      <c r="V319" s="3">
        <f t="shared" si="77"/>
        <v>9.657</v>
      </c>
      <c r="W319" s="3">
        <f t="shared" si="78"/>
        <v>13.351000000000001</v>
      </c>
      <c r="Y319" s="3">
        <f t="shared" si="79"/>
        <v>47.814</v>
      </c>
      <c r="Z319" s="3">
        <f t="shared" si="80"/>
        <v>23.008000000000003</v>
      </c>
      <c r="AA319" s="3">
        <f t="shared" si="81"/>
        <v>70.822000000000003</v>
      </c>
      <c r="AB319" s="3"/>
      <c r="AC319" s="2" t="str">
        <f t="shared" si="82"/>
        <v>2002-07</v>
      </c>
      <c r="AD319" s="9">
        <f t="shared" si="83"/>
        <v>492.84700000000004</v>
      </c>
      <c r="AE319" s="9">
        <f t="shared" si="84"/>
        <v>64.032999999999987</v>
      </c>
      <c r="AF319" s="9">
        <f t="shared" si="85"/>
        <v>556.88</v>
      </c>
      <c r="AG319" s="9"/>
      <c r="AH319" s="10">
        <v>37438</v>
      </c>
      <c r="AI319" s="9">
        <f t="shared" si="86"/>
        <v>93.88</v>
      </c>
      <c r="AJ319" s="9">
        <f t="shared" si="87"/>
        <v>170.12799999999999</v>
      </c>
      <c r="AK319" s="9">
        <f t="shared" si="88"/>
        <v>185.72300000000001</v>
      </c>
      <c r="AL319" s="9">
        <f t="shared" si="89"/>
        <v>43.116</v>
      </c>
      <c r="AM319" s="12">
        <f t="shared" si="90"/>
        <v>463</v>
      </c>
    </row>
    <row r="320" spans="1:39" x14ac:dyDescent="0.25">
      <c r="A320">
        <v>99996</v>
      </c>
      <c r="B320" t="s">
        <v>307</v>
      </c>
      <c r="C320" s="13">
        <v>688585</v>
      </c>
      <c r="D320" s="13">
        <v>156965</v>
      </c>
      <c r="E320" s="13">
        <v>63949</v>
      </c>
      <c r="F320" s="13">
        <v>257270</v>
      </c>
      <c r="G320" s="13">
        <v>112167</v>
      </c>
      <c r="H320" s="13">
        <v>92759</v>
      </c>
      <c r="J320" s="13">
        <v>684238</v>
      </c>
      <c r="K320" s="13">
        <v>139551</v>
      </c>
      <c r="L320" s="13">
        <v>49457</v>
      </c>
      <c r="M320" s="13">
        <v>252658</v>
      </c>
      <c r="N320" s="13">
        <v>113916</v>
      </c>
      <c r="O320" s="13">
        <v>89681</v>
      </c>
      <c r="Q320" s="3">
        <f t="shared" si="73"/>
        <v>4.3470000000000004</v>
      </c>
      <c r="R320" s="3">
        <f t="shared" si="74"/>
        <v>17.414000000000001</v>
      </c>
      <c r="S320" s="3">
        <f t="shared" si="75"/>
        <v>14.492000000000001</v>
      </c>
      <c r="T320" s="3">
        <f t="shared" si="76"/>
        <v>-1.7490000000000001</v>
      </c>
      <c r="U320" s="3"/>
      <c r="V320" s="3">
        <f t="shared" si="77"/>
        <v>4.6120000000000001</v>
      </c>
      <c r="W320" s="3">
        <f t="shared" si="78"/>
        <v>3.0779999999999998</v>
      </c>
      <c r="Y320" s="3">
        <f t="shared" si="79"/>
        <v>34.503999999999998</v>
      </c>
      <c r="Z320" s="3">
        <f t="shared" si="80"/>
        <v>7.6899999999999995</v>
      </c>
      <c r="AA320" s="3">
        <f t="shared" si="81"/>
        <v>42.194000000000003</v>
      </c>
      <c r="AB320" s="3"/>
      <c r="AC320" s="2" t="str">
        <f t="shared" si="82"/>
        <v>2002-08</v>
      </c>
      <c r="AD320" s="9">
        <f t="shared" si="83"/>
        <v>487.233</v>
      </c>
      <c r="AE320" s="9">
        <f t="shared" si="84"/>
        <v>66.125000000000014</v>
      </c>
      <c r="AF320" s="9">
        <f t="shared" si="85"/>
        <v>553.35800000000006</v>
      </c>
      <c r="AG320" s="9"/>
      <c r="AH320" s="10">
        <v>37469</v>
      </c>
      <c r="AI320" s="9">
        <f t="shared" si="86"/>
        <v>93.391000000000005</v>
      </c>
      <c r="AJ320" s="9">
        <f t="shared" si="87"/>
        <v>175.50599999999997</v>
      </c>
      <c r="AK320" s="9">
        <f t="shared" si="88"/>
        <v>187.50399999999999</v>
      </c>
      <c r="AL320" s="9">
        <f t="shared" si="89"/>
        <v>30.832000000000004</v>
      </c>
      <c r="AM320" s="12">
        <f t="shared" si="90"/>
        <v>459.96700000000004</v>
      </c>
    </row>
    <row r="321" spans="1:39" x14ac:dyDescent="0.25">
      <c r="A321">
        <v>99996</v>
      </c>
      <c r="B321" t="s">
        <v>308</v>
      </c>
      <c r="C321" s="13">
        <v>674601</v>
      </c>
      <c r="D321" s="13">
        <v>153124</v>
      </c>
      <c r="E321" s="13">
        <v>55478</v>
      </c>
      <c r="F321" s="13">
        <v>206763</v>
      </c>
      <c r="G321" s="13">
        <v>126078</v>
      </c>
      <c r="H321" s="13">
        <v>87083</v>
      </c>
      <c r="J321" s="13">
        <v>652931</v>
      </c>
      <c r="K321" s="13">
        <v>132067</v>
      </c>
      <c r="L321" s="13">
        <v>51604</v>
      </c>
      <c r="M321" s="13">
        <v>213226</v>
      </c>
      <c r="N321" s="13">
        <v>125014</v>
      </c>
      <c r="O321" s="13">
        <v>86318</v>
      </c>
      <c r="Q321" s="3">
        <f t="shared" si="73"/>
        <v>21.67</v>
      </c>
      <c r="R321" s="3">
        <f t="shared" si="74"/>
        <v>21.056999999999999</v>
      </c>
      <c r="S321" s="3">
        <f t="shared" si="75"/>
        <v>3.8740000000000001</v>
      </c>
      <c r="T321" s="3">
        <f t="shared" si="76"/>
        <v>1.0640000000000001</v>
      </c>
      <c r="U321" s="3"/>
      <c r="V321" s="3">
        <f t="shared" si="77"/>
        <v>-6.4630000000000001</v>
      </c>
      <c r="W321" s="3">
        <f t="shared" si="78"/>
        <v>0.76500000000000001</v>
      </c>
      <c r="Y321" s="3">
        <f t="shared" si="79"/>
        <v>47.665000000000006</v>
      </c>
      <c r="Z321" s="3">
        <f t="shared" si="80"/>
        <v>-5.6980000000000004</v>
      </c>
      <c r="AA321" s="3">
        <f t="shared" si="81"/>
        <v>41.967000000000006</v>
      </c>
      <c r="AB321" s="3"/>
      <c r="AC321" s="2" t="str">
        <f t="shared" si="82"/>
        <v>2002-09</v>
      </c>
      <c r="AD321" s="9">
        <f t="shared" si="83"/>
        <v>507.69600000000003</v>
      </c>
      <c r="AE321" s="9">
        <f t="shared" si="84"/>
        <v>69.627999999999986</v>
      </c>
      <c r="AF321" s="9">
        <f t="shared" si="85"/>
        <v>577.32399999999996</v>
      </c>
      <c r="AG321" s="9"/>
      <c r="AH321" s="10">
        <v>37500</v>
      </c>
      <c r="AI321" s="9">
        <f t="shared" si="86"/>
        <v>116.19499999999999</v>
      </c>
      <c r="AJ321" s="9">
        <f t="shared" si="87"/>
        <v>188.73499999999999</v>
      </c>
      <c r="AK321" s="9">
        <f t="shared" si="88"/>
        <v>181.19599999999997</v>
      </c>
      <c r="AL321" s="9">
        <f t="shared" si="89"/>
        <v>21.57</v>
      </c>
      <c r="AM321" s="12">
        <f t="shared" si="90"/>
        <v>461.12899999999996</v>
      </c>
    </row>
    <row r="322" spans="1:39" x14ac:dyDescent="0.25">
      <c r="A322">
        <v>99996</v>
      </c>
      <c r="B322" t="s">
        <v>309</v>
      </c>
      <c r="C322" s="13">
        <v>655578</v>
      </c>
      <c r="D322" s="13">
        <v>147403</v>
      </c>
      <c r="E322" s="13">
        <v>69768</v>
      </c>
      <c r="F322" s="13">
        <v>297196</v>
      </c>
      <c r="G322" s="13">
        <v>121725</v>
      </c>
      <c r="H322" s="13">
        <v>100763</v>
      </c>
      <c r="J322" s="13">
        <v>649492</v>
      </c>
      <c r="K322" s="13">
        <v>125208</v>
      </c>
      <c r="L322" s="13">
        <v>59993</v>
      </c>
      <c r="M322" s="13">
        <v>293577</v>
      </c>
      <c r="N322" s="13">
        <v>114860</v>
      </c>
      <c r="O322" s="13">
        <v>106919</v>
      </c>
      <c r="Q322" s="3">
        <f t="shared" si="73"/>
        <v>6.0860000000000003</v>
      </c>
      <c r="R322" s="3">
        <f t="shared" si="74"/>
        <v>22.195</v>
      </c>
      <c r="S322" s="3">
        <f t="shared" si="75"/>
        <v>9.7750000000000004</v>
      </c>
      <c r="T322" s="3">
        <f t="shared" si="76"/>
        <v>6.8650000000000002</v>
      </c>
      <c r="U322" s="3"/>
      <c r="V322" s="3">
        <f t="shared" si="77"/>
        <v>3.6190000000000002</v>
      </c>
      <c r="W322" s="3">
        <f t="shared" si="78"/>
        <v>-6.1559999999999997</v>
      </c>
      <c r="Y322" s="3">
        <f t="shared" si="79"/>
        <v>44.920999999999999</v>
      </c>
      <c r="Z322" s="3">
        <f t="shared" si="80"/>
        <v>-2.5369999999999995</v>
      </c>
      <c r="AA322" s="3">
        <f t="shared" si="81"/>
        <v>42.384</v>
      </c>
      <c r="AB322" s="3"/>
      <c r="AC322" s="2" t="str">
        <f t="shared" si="82"/>
        <v>2002-10</v>
      </c>
      <c r="AD322" s="9">
        <f t="shared" si="83"/>
        <v>496.78000000000003</v>
      </c>
      <c r="AE322" s="9">
        <f t="shared" si="84"/>
        <v>62.927</v>
      </c>
      <c r="AF322" s="9">
        <f t="shared" si="85"/>
        <v>559.70699999999999</v>
      </c>
      <c r="AG322" s="9"/>
      <c r="AH322" s="10">
        <v>37530</v>
      </c>
      <c r="AI322" s="9">
        <f t="shared" si="86"/>
        <v>106.55799999999999</v>
      </c>
      <c r="AJ322" s="9">
        <f t="shared" si="87"/>
        <v>183.65299999999999</v>
      </c>
      <c r="AK322" s="9">
        <f t="shared" si="88"/>
        <v>177.37999999999997</v>
      </c>
      <c r="AL322" s="9">
        <f t="shared" si="89"/>
        <v>29.189</v>
      </c>
      <c r="AM322" s="12">
        <f t="shared" si="90"/>
        <v>453.149</v>
      </c>
    </row>
    <row r="323" spans="1:39" x14ac:dyDescent="0.25">
      <c r="A323">
        <v>99996</v>
      </c>
      <c r="B323" t="s">
        <v>310</v>
      </c>
      <c r="C323" s="13">
        <v>662526</v>
      </c>
      <c r="D323" s="13">
        <v>164459</v>
      </c>
      <c r="E323" s="13">
        <v>93992</v>
      </c>
      <c r="F323" s="13">
        <v>264363</v>
      </c>
      <c r="G323" s="13">
        <v>136226</v>
      </c>
      <c r="H323" s="13">
        <v>101915</v>
      </c>
      <c r="J323" s="13">
        <v>641463</v>
      </c>
      <c r="K323" s="13">
        <v>146067</v>
      </c>
      <c r="L323" s="13">
        <v>71797</v>
      </c>
      <c r="M323" s="13">
        <v>257887</v>
      </c>
      <c r="N323" s="13">
        <v>133992</v>
      </c>
      <c r="O323" s="13">
        <v>102889</v>
      </c>
      <c r="Q323" s="3">
        <f t="shared" si="73"/>
        <v>21.062999999999999</v>
      </c>
      <c r="R323" s="3">
        <f t="shared" si="74"/>
        <v>18.391999999999999</v>
      </c>
      <c r="S323" s="3">
        <f t="shared" si="75"/>
        <v>22.195</v>
      </c>
      <c r="T323" s="3">
        <f t="shared" si="76"/>
        <v>2.234</v>
      </c>
      <c r="U323" s="3"/>
      <c r="V323" s="3">
        <f t="shared" si="77"/>
        <v>6.476</v>
      </c>
      <c r="W323" s="3">
        <f t="shared" si="78"/>
        <v>-0.97399999999999998</v>
      </c>
      <c r="Y323" s="3">
        <f t="shared" si="79"/>
        <v>63.884</v>
      </c>
      <c r="Z323" s="3">
        <f t="shared" si="80"/>
        <v>5.5019999999999998</v>
      </c>
      <c r="AA323" s="3">
        <f t="shared" si="81"/>
        <v>69.385999999999996</v>
      </c>
      <c r="AB323" s="3"/>
      <c r="AC323" s="2" t="str">
        <f t="shared" si="82"/>
        <v>2002-11</v>
      </c>
      <c r="AD323" s="9">
        <f t="shared" si="83"/>
        <v>518.55000000000007</v>
      </c>
      <c r="AE323" s="9">
        <f t="shared" si="84"/>
        <v>52.461999999999996</v>
      </c>
      <c r="AF323" s="9">
        <f t="shared" si="85"/>
        <v>571.01200000000006</v>
      </c>
      <c r="AG323" s="9"/>
      <c r="AH323" s="10">
        <v>37561</v>
      </c>
      <c r="AI323" s="9">
        <f t="shared" si="86"/>
        <v>115.259</v>
      </c>
      <c r="AJ323" s="9">
        <f t="shared" si="87"/>
        <v>187.97200000000001</v>
      </c>
      <c r="AK323" s="9">
        <f t="shared" si="88"/>
        <v>182.792</v>
      </c>
      <c r="AL323" s="9">
        <f t="shared" si="89"/>
        <v>32.527000000000001</v>
      </c>
      <c r="AM323" s="12">
        <f t="shared" si="90"/>
        <v>455.75300000000004</v>
      </c>
    </row>
    <row r="324" spans="1:39" x14ac:dyDescent="0.25">
      <c r="A324">
        <v>99996</v>
      </c>
      <c r="B324" t="s">
        <v>311</v>
      </c>
      <c r="C324" s="13">
        <v>487979</v>
      </c>
      <c r="D324" s="13">
        <v>144537</v>
      </c>
      <c r="E324" s="13">
        <v>62822</v>
      </c>
      <c r="F324" s="13">
        <v>223227</v>
      </c>
      <c r="G324" s="13">
        <v>116255</v>
      </c>
      <c r="H324" s="13">
        <v>89226</v>
      </c>
      <c r="J324" s="13">
        <v>474500</v>
      </c>
      <c r="K324" s="13">
        <v>128735</v>
      </c>
      <c r="L324" s="13">
        <v>49644</v>
      </c>
      <c r="M324" s="13">
        <v>220042</v>
      </c>
      <c r="N324" s="13">
        <v>121236</v>
      </c>
      <c r="O324" s="13">
        <v>91848</v>
      </c>
      <c r="Q324" s="3">
        <f t="shared" si="73"/>
        <v>13.478999999999999</v>
      </c>
      <c r="R324" s="3">
        <f t="shared" si="74"/>
        <v>15.802</v>
      </c>
      <c r="S324" s="3">
        <f t="shared" si="75"/>
        <v>13.178000000000001</v>
      </c>
      <c r="T324" s="3">
        <f t="shared" si="76"/>
        <v>-4.9809999999999999</v>
      </c>
      <c r="U324" s="3"/>
      <c r="V324" s="3">
        <f t="shared" si="77"/>
        <v>3.1850000000000001</v>
      </c>
      <c r="W324" s="3">
        <f t="shared" si="78"/>
        <v>-2.6219999999999999</v>
      </c>
      <c r="Y324" s="3">
        <f t="shared" si="79"/>
        <v>37.478000000000002</v>
      </c>
      <c r="Z324" s="3">
        <f t="shared" si="80"/>
        <v>0.56300000000000017</v>
      </c>
      <c r="AA324" s="3">
        <f t="shared" si="81"/>
        <v>38.041000000000004</v>
      </c>
      <c r="AB324" s="3"/>
      <c r="AC324" s="2" t="str">
        <f t="shared" si="82"/>
        <v>2002-12</v>
      </c>
      <c r="AD324" s="9">
        <f t="shared" si="83"/>
        <v>525.86800000000005</v>
      </c>
      <c r="AE324" s="9">
        <f t="shared" si="84"/>
        <v>48.696000000000005</v>
      </c>
      <c r="AF324" s="9">
        <f t="shared" si="85"/>
        <v>574.56400000000008</v>
      </c>
      <c r="AG324" s="9"/>
      <c r="AH324" s="10">
        <v>37591</v>
      </c>
      <c r="AI324" s="9">
        <f t="shared" si="86"/>
        <v>119.92100000000001</v>
      </c>
      <c r="AJ324" s="9">
        <f t="shared" si="87"/>
        <v>195.14499999999998</v>
      </c>
      <c r="AK324" s="9">
        <f t="shared" si="88"/>
        <v>182.31</v>
      </c>
      <c r="AL324" s="9">
        <f t="shared" si="89"/>
        <v>28.492000000000004</v>
      </c>
      <c r="AM324" s="12">
        <f t="shared" si="90"/>
        <v>454.64300000000009</v>
      </c>
    </row>
    <row r="325" spans="1:39" x14ac:dyDescent="0.25">
      <c r="A325">
        <v>99996</v>
      </c>
      <c r="B325" t="s">
        <v>312</v>
      </c>
      <c r="C325" s="13">
        <v>517876</v>
      </c>
      <c r="D325" s="13">
        <v>141693</v>
      </c>
      <c r="E325" s="13">
        <v>73424</v>
      </c>
      <c r="F325" s="13">
        <v>216867</v>
      </c>
      <c r="G325" s="13">
        <v>118224</v>
      </c>
      <c r="H325" s="13">
        <v>95017</v>
      </c>
      <c r="J325" s="13">
        <v>516104</v>
      </c>
      <c r="K325" s="13">
        <v>117973</v>
      </c>
      <c r="L325" s="13">
        <v>49984</v>
      </c>
      <c r="M325" s="13">
        <v>219719</v>
      </c>
      <c r="N325" s="13">
        <v>112933</v>
      </c>
      <c r="O325" s="13">
        <v>101798</v>
      </c>
      <c r="Q325" s="3">
        <f t="shared" si="73"/>
        <v>1.772</v>
      </c>
      <c r="R325" s="3">
        <f t="shared" si="74"/>
        <v>23.72</v>
      </c>
      <c r="S325" s="3">
        <f t="shared" si="75"/>
        <v>23.44</v>
      </c>
      <c r="T325" s="3">
        <f t="shared" si="76"/>
        <v>5.2910000000000004</v>
      </c>
      <c r="U325" s="3"/>
      <c r="V325" s="3">
        <f t="shared" si="77"/>
        <v>-2.8519999999999999</v>
      </c>
      <c r="W325" s="3">
        <f t="shared" si="78"/>
        <v>-6.7809999999999997</v>
      </c>
      <c r="Y325" s="3">
        <f t="shared" si="79"/>
        <v>54.222999999999999</v>
      </c>
      <c r="Z325" s="3">
        <f t="shared" si="80"/>
        <v>-9.6329999999999991</v>
      </c>
      <c r="AA325" s="3">
        <f t="shared" si="81"/>
        <v>44.59</v>
      </c>
      <c r="AB325" s="3"/>
      <c r="AC325" s="2" t="str">
        <f t="shared" si="82"/>
        <v>2003-01</v>
      </c>
      <c r="AD325" s="9">
        <f t="shared" si="83"/>
        <v>577.94899999999996</v>
      </c>
      <c r="AE325" s="9">
        <f t="shared" si="84"/>
        <v>26.522000000000009</v>
      </c>
      <c r="AF325" s="9">
        <f t="shared" si="85"/>
        <v>604.47100000000012</v>
      </c>
      <c r="AG325" s="9"/>
      <c r="AH325" s="10">
        <v>37622</v>
      </c>
      <c r="AI325" s="9">
        <f t="shared" si="86"/>
        <v>136.971</v>
      </c>
      <c r="AJ325" s="9">
        <f t="shared" si="87"/>
        <v>211.15799999999999</v>
      </c>
      <c r="AK325" s="9">
        <f t="shared" si="88"/>
        <v>190.49799999999999</v>
      </c>
      <c r="AL325" s="9">
        <f t="shared" si="89"/>
        <v>39.322000000000003</v>
      </c>
      <c r="AM325" s="12">
        <f t="shared" si="90"/>
        <v>467.50000000000011</v>
      </c>
    </row>
    <row r="326" spans="1:39" x14ac:dyDescent="0.25">
      <c r="A326">
        <v>99996</v>
      </c>
      <c r="B326" t="s">
        <v>313</v>
      </c>
      <c r="C326" s="13">
        <v>535880</v>
      </c>
      <c r="D326" s="13">
        <v>129951</v>
      </c>
      <c r="E326" s="13">
        <v>64848</v>
      </c>
      <c r="F326" s="13">
        <v>201798</v>
      </c>
      <c r="G326" s="13">
        <v>103009</v>
      </c>
      <c r="H326" s="13">
        <v>84371</v>
      </c>
      <c r="J326" s="13">
        <v>539090</v>
      </c>
      <c r="K326" s="13">
        <v>120571</v>
      </c>
      <c r="L326" s="13">
        <v>52060</v>
      </c>
      <c r="M326" s="13">
        <v>203875</v>
      </c>
      <c r="N326" s="13">
        <v>91146</v>
      </c>
      <c r="O326" s="13">
        <v>88449</v>
      </c>
      <c r="Q326" s="3">
        <f t="shared" si="73"/>
        <v>-3.21</v>
      </c>
      <c r="R326" s="3">
        <f t="shared" si="74"/>
        <v>9.3800000000000008</v>
      </c>
      <c r="S326" s="3">
        <f t="shared" si="75"/>
        <v>12.788</v>
      </c>
      <c r="T326" s="3">
        <f t="shared" si="76"/>
        <v>11.863</v>
      </c>
      <c r="U326" s="3"/>
      <c r="V326" s="3">
        <f t="shared" si="77"/>
        <v>-2.077</v>
      </c>
      <c r="W326" s="3">
        <f t="shared" si="78"/>
        <v>-4.0780000000000003</v>
      </c>
      <c r="Y326" s="3">
        <f t="shared" si="79"/>
        <v>30.821000000000002</v>
      </c>
      <c r="Z326" s="3">
        <f t="shared" si="80"/>
        <v>-6.1550000000000002</v>
      </c>
      <c r="AA326" s="3">
        <f t="shared" si="81"/>
        <v>24.666</v>
      </c>
      <c r="AB326" s="3"/>
      <c r="AC326" s="2" t="str">
        <f t="shared" si="82"/>
        <v>2003-02</v>
      </c>
      <c r="AD326" s="9">
        <f t="shared" si="83"/>
        <v>583.68400000000008</v>
      </c>
      <c r="AE326" s="9">
        <f t="shared" si="84"/>
        <v>20.855000000000008</v>
      </c>
      <c r="AF326" s="9">
        <f t="shared" si="85"/>
        <v>604.53900000000021</v>
      </c>
      <c r="AG326" s="9"/>
      <c r="AH326" s="10">
        <v>37653</v>
      </c>
      <c r="AI326" s="9">
        <f t="shared" si="86"/>
        <v>124.913</v>
      </c>
      <c r="AJ326" s="9">
        <f t="shared" si="87"/>
        <v>214.18999999999997</v>
      </c>
      <c r="AK326" s="9">
        <f t="shared" si="88"/>
        <v>195.648</v>
      </c>
      <c r="AL326" s="9">
        <f t="shared" si="89"/>
        <v>48.933000000000007</v>
      </c>
      <c r="AM326" s="12">
        <f t="shared" si="90"/>
        <v>479.6260000000002</v>
      </c>
    </row>
    <row r="327" spans="1:39" x14ac:dyDescent="0.25">
      <c r="A327">
        <v>99996</v>
      </c>
      <c r="B327" t="s">
        <v>314</v>
      </c>
      <c r="C327" s="13">
        <v>664772</v>
      </c>
      <c r="D327" s="13">
        <v>209796</v>
      </c>
      <c r="E327" s="13">
        <v>84614</v>
      </c>
      <c r="F327" s="13">
        <v>237095</v>
      </c>
      <c r="G327" s="13">
        <v>139890</v>
      </c>
      <c r="H327" s="13">
        <v>91679</v>
      </c>
      <c r="J327" s="13">
        <v>637891</v>
      </c>
      <c r="K327" s="13">
        <v>195087</v>
      </c>
      <c r="L327" s="13">
        <v>57707</v>
      </c>
      <c r="M327" s="13">
        <v>234286</v>
      </c>
      <c r="N327" s="13">
        <v>140046</v>
      </c>
      <c r="O327" s="13">
        <v>96617</v>
      </c>
      <c r="Q327" s="3">
        <f t="shared" si="73"/>
        <v>26.881</v>
      </c>
      <c r="R327" s="3">
        <f t="shared" si="74"/>
        <v>14.709</v>
      </c>
      <c r="S327" s="3">
        <f t="shared" si="75"/>
        <v>26.907</v>
      </c>
      <c r="T327" s="3">
        <f t="shared" si="76"/>
        <v>-0.156</v>
      </c>
      <c r="U327" s="3"/>
      <c r="V327" s="3">
        <f t="shared" si="77"/>
        <v>2.8090000000000002</v>
      </c>
      <c r="W327" s="3">
        <f t="shared" si="78"/>
        <v>-4.9379999999999997</v>
      </c>
      <c r="Y327" s="3">
        <f t="shared" si="79"/>
        <v>68.340999999999994</v>
      </c>
      <c r="Z327" s="3">
        <f t="shared" si="80"/>
        <v>-2.1289999999999996</v>
      </c>
      <c r="AA327" s="3">
        <f t="shared" si="81"/>
        <v>66.211999999999989</v>
      </c>
      <c r="AB327" s="3"/>
      <c r="AC327" s="2" t="str">
        <f t="shared" si="82"/>
        <v>2003-03</v>
      </c>
      <c r="AD327" s="9">
        <f t="shared" si="83"/>
        <v>579.27</v>
      </c>
      <c r="AE327" s="9">
        <f t="shared" si="84"/>
        <v>6.1800000000000015</v>
      </c>
      <c r="AF327" s="9">
        <f t="shared" si="85"/>
        <v>585.45000000000005</v>
      </c>
      <c r="AG327" s="9"/>
      <c r="AH327" s="10">
        <v>37681</v>
      </c>
      <c r="AI327" s="9">
        <f t="shared" si="86"/>
        <v>132.46199999999999</v>
      </c>
      <c r="AJ327" s="9">
        <f t="shared" si="87"/>
        <v>209.339</v>
      </c>
      <c r="AK327" s="9">
        <f t="shared" si="88"/>
        <v>196.02300000000002</v>
      </c>
      <c r="AL327" s="9">
        <f t="shared" si="89"/>
        <v>41.446000000000005</v>
      </c>
      <c r="AM327" s="12">
        <f t="shared" si="90"/>
        <v>452.98800000000006</v>
      </c>
    </row>
    <row r="328" spans="1:39" x14ac:dyDescent="0.25">
      <c r="A328">
        <v>99996</v>
      </c>
      <c r="B328" t="s">
        <v>315</v>
      </c>
      <c r="C328" s="13">
        <v>516360</v>
      </c>
      <c r="D328" s="13">
        <v>114599</v>
      </c>
      <c r="E328" s="13">
        <v>74534</v>
      </c>
      <c r="F328" s="13">
        <v>233502</v>
      </c>
      <c r="G328" s="13">
        <v>104507</v>
      </c>
      <c r="H328" s="13">
        <v>96763</v>
      </c>
      <c r="J328" s="13">
        <v>507695</v>
      </c>
      <c r="K328" s="13">
        <v>96638</v>
      </c>
      <c r="L328" s="13">
        <v>52483</v>
      </c>
      <c r="M328" s="13">
        <v>229036</v>
      </c>
      <c r="N328" s="13">
        <v>101066</v>
      </c>
      <c r="O328" s="13">
        <v>94495</v>
      </c>
      <c r="Q328" s="3">
        <f t="shared" si="73"/>
        <v>8.6649999999999991</v>
      </c>
      <c r="R328" s="3">
        <f t="shared" si="74"/>
        <v>17.960999999999999</v>
      </c>
      <c r="S328" s="3">
        <f t="shared" si="75"/>
        <v>22.050999999999998</v>
      </c>
      <c r="T328" s="3">
        <f t="shared" si="76"/>
        <v>3.4409999999999998</v>
      </c>
      <c r="U328" s="3"/>
      <c r="V328" s="3">
        <f t="shared" si="77"/>
        <v>4.4660000000000002</v>
      </c>
      <c r="W328" s="3">
        <f t="shared" si="78"/>
        <v>2.2679999999999998</v>
      </c>
      <c r="Y328" s="3">
        <f t="shared" si="79"/>
        <v>52.117999999999995</v>
      </c>
      <c r="Z328" s="3">
        <f t="shared" si="80"/>
        <v>6.734</v>
      </c>
      <c r="AA328" s="3">
        <f t="shared" si="81"/>
        <v>58.851999999999997</v>
      </c>
      <c r="AB328" s="3"/>
      <c r="AC328" s="2" t="str">
        <f t="shared" si="82"/>
        <v>2003-04</v>
      </c>
      <c r="AD328" s="9">
        <f t="shared" si="83"/>
        <v>597.55400000000009</v>
      </c>
      <c r="AE328" s="9">
        <f t="shared" si="84"/>
        <v>8.3170000000000002</v>
      </c>
      <c r="AF328" s="9">
        <f t="shared" si="85"/>
        <v>605.87099999999998</v>
      </c>
      <c r="AG328" s="9"/>
      <c r="AH328" s="10">
        <v>37712</v>
      </c>
      <c r="AI328" s="9">
        <f t="shared" si="86"/>
        <v>149.96099999999998</v>
      </c>
      <c r="AJ328" s="9">
        <f t="shared" si="87"/>
        <v>202.87700000000001</v>
      </c>
      <c r="AK328" s="9">
        <f t="shared" si="88"/>
        <v>200.22300000000001</v>
      </c>
      <c r="AL328" s="9">
        <f t="shared" si="89"/>
        <v>44.493000000000002</v>
      </c>
      <c r="AM328" s="12">
        <f t="shared" si="90"/>
        <v>455.90999999999997</v>
      </c>
    </row>
    <row r="329" spans="1:39" x14ac:dyDescent="0.25">
      <c r="A329">
        <v>99996</v>
      </c>
      <c r="B329" t="s">
        <v>316</v>
      </c>
      <c r="C329" s="13">
        <v>744699</v>
      </c>
      <c r="D329" s="13">
        <v>142161</v>
      </c>
      <c r="E329" s="13">
        <v>91872</v>
      </c>
      <c r="F329" s="13">
        <v>273601</v>
      </c>
      <c r="G329" s="13">
        <v>131966</v>
      </c>
      <c r="H329" s="13">
        <v>95410</v>
      </c>
      <c r="J329" s="13">
        <v>702914</v>
      </c>
      <c r="K329" s="13">
        <v>116467</v>
      </c>
      <c r="L329" s="13">
        <v>64494</v>
      </c>
      <c r="M329" s="13">
        <v>266951</v>
      </c>
      <c r="N329" s="13">
        <v>128708</v>
      </c>
      <c r="O329" s="13">
        <v>107182</v>
      </c>
      <c r="Q329" s="3">
        <f t="shared" si="73"/>
        <v>41.784999999999997</v>
      </c>
      <c r="R329" s="3">
        <f t="shared" si="74"/>
        <v>25.693999999999999</v>
      </c>
      <c r="S329" s="3">
        <f t="shared" si="75"/>
        <v>27.378</v>
      </c>
      <c r="T329" s="3">
        <f t="shared" si="76"/>
        <v>3.258</v>
      </c>
      <c r="U329" s="3"/>
      <c r="V329" s="3">
        <f t="shared" si="77"/>
        <v>6.65</v>
      </c>
      <c r="W329" s="3">
        <f t="shared" si="78"/>
        <v>-11.772</v>
      </c>
      <c r="Y329" s="3">
        <f t="shared" si="79"/>
        <v>98.114999999999995</v>
      </c>
      <c r="Z329" s="3">
        <f t="shared" si="80"/>
        <v>-5.1219999999999999</v>
      </c>
      <c r="AA329" s="3">
        <f t="shared" si="81"/>
        <v>92.992999999999995</v>
      </c>
      <c r="AB329" s="3"/>
      <c r="AC329" s="2" t="str">
        <f t="shared" si="82"/>
        <v>2003-05</v>
      </c>
      <c r="AD329" s="9">
        <f t="shared" si="83"/>
        <v>632.80600000000004</v>
      </c>
      <c r="AE329" s="9">
        <f t="shared" si="84"/>
        <v>11.325000000000003</v>
      </c>
      <c r="AF329" s="9">
        <f t="shared" si="85"/>
        <v>644.13100000000009</v>
      </c>
      <c r="AG329" s="9"/>
      <c r="AH329" s="10">
        <v>37742</v>
      </c>
      <c r="AI329" s="9">
        <f t="shared" si="86"/>
        <v>181.21899999999999</v>
      </c>
      <c r="AJ329" s="9">
        <f t="shared" si="87"/>
        <v>210.20399999999998</v>
      </c>
      <c r="AK329" s="9">
        <f t="shared" si="88"/>
        <v>200.95699999999999</v>
      </c>
      <c r="AL329" s="9">
        <f t="shared" si="89"/>
        <v>40.426000000000002</v>
      </c>
      <c r="AM329" s="12">
        <f t="shared" si="90"/>
        <v>462.91200000000009</v>
      </c>
    </row>
    <row r="330" spans="1:39" x14ac:dyDescent="0.25">
      <c r="A330">
        <v>99996</v>
      </c>
      <c r="B330" t="s">
        <v>317</v>
      </c>
      <c r="C330" s="13">
        <v>759496</v>
      </c>
      <c r="D330" s="13">
        <v>142242</v>
      </c>
      <c r="E330" s="13">
        <v>92129</v>
      </c>
      <c r="F330" s="13">
        <v>311508</v>
      </c>
      <c r="G330" s="13">
        <v>131808</v>
      </c>
      <c r="H330" s="13">
        <v>114994</v>
      </c>
      <c r="J330" s="13">
        <v>719945</v>
      </c>
      <c r="K330" s="13">
        <v>134323</v>
      </c>
      <c r="L330" s="13">
        <v>71063</v>
      </c>
      <c r="M330" s="13">
        <v>302211</v>
      </c>
      <c r="N330" s="13">
        <v>137492</v>
      </c>
      <c r="O330" s="13">
        <v>121210</v>
      </c>
      <c r="Q330" s="3">
        <f t="shared" si="73"/>
        <v>39.551000000000002</v>
      </c>
      <c r="R330" s="3">
        <f t="shared" si="74"/>
        <v>7.9189999999999996</v>
      </c>
      <c r="S330" s="3">
        <f t="shared" si="75"/>
        <v>21.065999999999999</v>
      </c>
      <c r="T330" s="3">
        <f t="shared" si="76"/>
        <v>-5.6840000000000002</v>
      </c>
      <c r="U330" s="3"/>
      <c r="V330" s="3">
        <f t="shared" si="77"/>
        <v>9.2970000000000006</v>
      </c>
      <c r="W330" s="3">
        <f t="shared" si="78"/>
        <v>-6.2160000000000002</v>
      </c>
      <c r="Y330" s="3">
        <f t="shared" si="79"/>
        <v>62.852000000000004</v>
      </c>
      <c r="Z330" s="3">
        <f t="shared" si="80"/>
        <v>3.0810000000000004</v>
      </c>
      <c r="AA330" s="3">
        <f t="shared" si="81"/>
        <v>65.933000000000007</v>
      </c>
      <c r="AB330" s="3"/>
      <c r="AC330" s="2" t="str">
        <f t="shared" si="82"/>
        <v>2003-06</v>
      </c>
      <c r="AD330" s="9">
        <f t="shared" si="83"/>
        <v>642.73599999999999</v>
      </c>
      <c r="AE330" s="9">
        <f t="shared" si="84"/>
        <v>15.303999999999998</v>
      </c>
      <c r="AF330" s="9">
        <f t="shared" si="85"/>
        <v>658.04</v>
      </c>
      <c r="AG330" s="9"/>
      <c r="AH330" s="10">
        <v>37773</v>
      </c>
      <c r="AI330" s="9">
        <f t="shared" si="86"/>
        <v>206.447</v>
      </c>
      <c r="AJ330" s="9">
        <f t="shared" si="87"/>
        <v>206.05899999999997</v>
      </c>
      <c r="AK330" s="9">
        <f t="shared" si="88"/>
        <v>201.06199999999998</v>
      </c>
      <c r="AL330" s="9">
        <f t="shared" si="89"/>
        <v>29.168000000000003</v>
      </c>
      <c r="AM330" s="12">
        <f t="shared" si="90"/>
        <v>451.59299999999996</v>
      </c>
    </row>
    <row r="331" spans="1:39" x14ac:dyDescent="0.25">
      <c r="A331">
        <v>99996</v>
      </c>
      <c r="B331" t="s">
        <v>318</v>
      </c>
      <c r="C331" s="13">
        <v>802093</v>
      </c>
      <c r="D331" s="13">
        <v>133264</v>
      </c>
      <c r="E331" s="13">
        <v>85792</v>
      </c>
      <c r="F331" s="13">
        <v>266737</v>
      </c>
      <c r="G331" s="13">
        <v>139310</v>
      </c>
      <c r="H331" s="13">
        <v>119903</v>
      </c>
      <c r="J331" s="13">
        <v>751397</v>
      </c>
      <c r="K331" s="13">
        <v>121030</v>
      </c>
      <c r="L331" s="13">
        <v>59720</v>
      </c>
      <c r="M331" s="13">
        <v>276273</v>
      </c>
      <c r="N331" s="13">
        <v>127845</v>
      </c>
      <c r="O331" s="13">
        <v>128437</v>
      </c>
      <c r="Q331" s="3">
        <f t="shared" si="73"/>
        <v>50.695999999999998</v>
      </c>
      <c r="R331" s="3">
        <f t="shared" si="74"/>
        <v>12.234</v>
      </c>
      <c r="S331" s="3">
        <f t="shared" si="75"/>
        <v>26.071999999999999</v>
      </c>
      <c r="T331" s="3">
        <f t="shared" si="76"/>
        <v>11.465</v>
      </c>
      <c r="U331" s="3"/>
      <c r="V331" s="3">
        <f t="shared" si="77"/>
        <v>-9.5359999999999996</v>
      </c>
      <c r="W331" s="3">
        <f t="shared" si="78"/>
        <v>-8.5340000000000007</v>
      </c>
      <c r="Y331" s="3">
        <f t="shared" si="79"/>
        <v>100.467</v>
      </c>
      <c r="Z331" s="3">
        <f t="shared" si="80"/>
        <v>-18.07</v>
      </c>
      <c r="AA331" s="3">
        <f t="shared" si="81"/>
        <v>82.396999999999991</v>
      </c>
      <c r="AB331" s="3"/>
      <c r="AC331" s="2" t="str">
        <f t="shared" si="82"/>
        <v>2003-07</v>
      </c>
      <c r="AD331" s="9">
        <f t="shared" si="83"/>
        <v>695.38900000000001</v>
      </c>
      <c r="AE331" s="9">
        <f t="shared" si="84"/>
        <v>-25.774000000000001</v>
      </c>
      <c r="AF331" s="9">
        <f t="shared" si="85"/>
        <v>669.61500000000001</v>
      </c>
      <c r="AG331" s="9"/>
      <c r="AH331" s="10">
        <v>37803</v>
      </c>
      <c r="AI331" s="9">
        <f t="shared" si="86"/>
        <v>232.785</v>
      </c>
      <c r="AJ331" s="9">
        <f t="shared" si="87"/>
        <v>206.477</v>
      </c>
      <c r="AK331" s="9">
        <f t="shared" si="88"/>
        <v>223.21599999999998</v>
      </c>
      <c r="AL331" s="9">
        <f t="shared" si="89"/>
        <v>32.911000000000001</v>
      </c>
      <c r="AM331" s="12">
        <f t="shared" si="90"/>
        <v>436.83000000000004</v>
      </c>
    </row>
    <row r="332" spans="1:39" x14ac:dyDescent="0.25">
      <c r="A332">
        <v>99996</v>
      </c>
      <c r="B332" t="s">
        <v>319</v>
      </c>
      <c r="C332" s="13">
        <v>824804</v>
      </c>
      <c r="D332" s="13">
        <v>115019</v>
      </c>
      <c r="E332" s="13">
        <v>74199</v>
      </c>
      <c r="F332" s="13">
        <v>252767</v>
      </c>
      <c r="G332" s="13">
        <v>97982</v>
      </c>
      <c r="H332" s="13">
        <v>103466</v>
      </c>
      <c r="J332" s="13">
        <v>808053</v>
      </c>
      <c r="K332" s="13">
        <v>106342</v>
      </c>
      <c r="L332" s="13">
        <v>57635</v>
      </c>
      <c r="M332" s="13">
        <v>241022</v>
      </c>
      <c r="N332" s="13">
        <v>95155</v>
      </c>
      <c r="O332" s="13">
        <v>117928</v>
      </c>
      <c r="Q332" s="3">
        <f t="shared" si="73"/>
        <v>16.751000000000001</v>
      </c>
      <c r="R332" s="3">
        <f t="shared" si="74"/>
        <v>8.6769999999999996</v>
      </c>
      <c r="S332" s="3">
        <f t="shared" si="75"/>
        <v>16.564</v>
      </c>
      <c r="T332" s="3">
        <f t="shared" si="76"/>
        <v>2.827</v>
      </c>
      <c r="U332" s="3"/>
      <c r="V332" s="3">
        <f t="shared" si="77"/>
        <v>11.744999999999999</v>
      </c>
      <c r="W332" s="3">
        <f t="shared" si="78"/>
        <v>-14.462</v>
      </c>
      <c r="Y332" s="3">
        <f t="shared" si="79"/>
        <v>44.819000000000003</v>
      </c>
      <c r="Z332" s="3">
        <f t="shared" si="80"/>
        <v>-2.7170000000000005</v>
      </c>
      <c r="AA332" s="3">
        <f t="shared" si="81"/>
        <v>42.102000000000004</v>
      </c>
      <c r="AB332" s="3"/>
      <c r="AC332" s="2" t="str">
        <f t="shared" si="82"/>
        <v>2003-08</v>
      </c>
      <c r="AD332" s="9">
        <f t="shared" si="83"/>
        <v>705.70400000000006</v>
      </c>
      <c r="AE332" s="9">
        <f t="shared" si="84"/>
        <v>-36.180999999999997</v>
      </c>
      <c r="AF332" s="9">
        <f t="shared" si="85"/>
        <v>669.52300000000002</v>
      </c>
      <c r="AG332" s="9"/>
      <c r="AH332" s="10">
        <v>37834</v>
      </c>
      <c r="AI332" s="9">
        <f t="shared" si="86"/>
        <v>245.18900000000002</v>
      </c>
      <c r="AJ332" s="9">
        <f t="shared" si="87"/>
        <v>197.74</v>
      </c>
      <c r="AK332" s="9">
        <f t="shared" si="88"/>
        <v>225.28800000000001</v>
      </c>
      <c r="AL332" s="9">
        <f t="shared" si="89"/>
        <v>37.486999999999995</v>
      </c>
      <c r="AM332" s="12">
        <f t="shared" si="90"/>
        <v>424.334</v>
      </c>
    </row>
    <row r="333" spans="1:39" x14ac:dyDescent="0.25">
      <c r="A333">
        <v>99996</v>
      </c>
      <c r="B333" t="s">
        <v>320</v>
      </c>
      <c r="C333" s="13">
        <v>712998</v>
      </c>
      <c r="D333" s="13">
        <v>91905</v>
      </c>
      <c r="E333" s="13">
        <v>84549</v>
      </c>
      <c r="F333" s="13">
        <v>262914</v>
      </c>
      <c r="G333" s="13">
        <v>137905</v>
      </c>
      <c r="H333" s="13">
        <v>122756</v>
      </c>
      <c r="J333" s="13">
        <v>706252</v>
      </c>
      <c r="K333" s="13">
        <v>92033</v>
      </c>
      <c r="L333" s="13">
        <v>64345</v>
      </c>
      <c r="M333" s="13">
        <v>269103</v>
      </c>
      <c r="N333" s="13">
        <v>125987</v>
      </c>
      <c r="O333" s="13">
        <v>135565</v>
      </c>
      <c r="Q333" s="3">
        <f t="shared" ref="Q333:Q355" si="91">(C333-J333)/1000</f>
        <v>6.7460000000000004</v>
      </c>
      <c r="R333" s="3">
        <f t="shared" ref="R333:R355" si="92">(D333-K333)/1000</f>
        <v>-0.128</v>
      </c>
      <c r="S333" s="3">
        <f t="shared" ref="S333:S355" si="93">(E333-L333)/1000</f>
        <v>20.204000000000001</v>
      </c>
      <c r="T333" s="3">
        <f t="shared" ref="T333:T355" si="94">(G333-N333)/1000</f>
        <v>11.917999999999999</v>
      </c>
      <c r="U333" s="3"/>
      <c r="V333" s="3">
        <f t="shared" ref="V333:V355" si="95">(F333-M333)/1000</f>
        <v>-6.1890000000000001</v>
      </c>
      <c r="W333" s="3">
        <f t="shared" ref="W333:W355" si="96">(H333-O333)/1000</f>
        <v>-12.808999999999999</v>
      </c>
      <c r="Y333" s="3">
        <f t="shared" ref="Y333:Y355" si="97">SUM(Q333:T333)</f>
        <v>38.74</v>
      </c>
      <c r="Z333" s="3">
        <f t="shared" ref="Z333:Z355" si="98">V333+W333</f>
        <v>-18.997999999999998</v>
      </c>
      <c r="AA333" s="3">
        <f t="shared" ref="AA333:AA355" si="99">SUM(Q333:W333)</f>
        <v>19.742000000000004</v>
      </c>
      <c r="AB333" s="3"/>
      <c r="AC333" s="2" t="str">
        <f t="shared" si="82"/>
        <v>2003-09</v>
      </c>
      <c r="AD333" s="9">
        <f t="shared" si="83"/>
        <v>696.779</v>
      </c>
      <c r="AE333" s="9">
        <f t="shared" si="84"/>
        <v>-49.480999999999995</v>
      </c>
      <c r="AF333" s="9">
        <f t="shared" si="85"/>
        <v>647.29799999999989</v>
      </c>
      <c r="AG333" s="9"/>
      <c r="AH333" s="10">
        <v>37865</v>
      </c>
      <c r="AI333" s="9">
        <f t="shared" si="86"/>
        <v>230.26500000000001</v>
      </c>
      <c r="AJ333" s="9">
        <f t="shared" si="87"/>
        <v>176.55500000000004</v>
      </c>
      <c r="AK333" s="9">
        <f t="shared" si="88"/>
        <v>241.61799999999999</v>
      </c>
      <c r="AL333" s="9">
        <f t="shared" si="89"/>
        <v>48.340999999999994</v>
      </c>
      <c r="AM333" s="12">
        <f t="shared" si="90"/>
        <v>417.0329999999999</v>
      </c>
    </row>
    <row r="334" spans="1:39" x14ac:dyDescent="0.25">
      <c r="A334">
        <v>99996</v>
      </c>
      <c r="B334" t="s">
        <v>321</v>
      </c>
      <c r="C334" s="13">
        <v>755416</v>
      </c>
      <c r="D334" s="13">
        <v>88182</v>
      </c>
      <c r="E334" s="13">
        <v>88884</v>
      </c>
      <c r="F334" s="13">
        <v>305947</v>
      </c>
      <c r="G334" s="13">
        <v>134101</v>
      </c>
      <c r="H334" s="13">
        <v>143321</v>
      </c>
      <c r="J334" s="13">
        <v>744914</v>
      </c>
      <c r="K334" s="13">
        <v>76860</v>
      </c>
      <c r="L334" s="13">
        <v>68193</v>
      </c>
      <c r="M334" s="13">
        <v>307298</v>
      </c>
      <c r="N334" s="13">
        <v>144626</v>
      </c>
      <c r="O334" s="13">
        <v>154957</v>
      </c>
      <c r="Q334" s="3">
        <f t="shared" si="91"/>
        <v>10.502000000000001</v>
      </c>
      <c r="R334" s="3">
        <f t="shared" si="92"/>
        <v>11.321999999999999</v>
      </c>
      <c r="S334" s="3">
        <f t="shared" si="93"/>
        <v>20.690999999999999</v>
      </c>
      <c r="T334" s="3">
        <f t="shared" si="94"/>
        <v>-10.525</v>
      </c>
      <c r="U334" s="3"/>
      <c r="V334" s="3">
        <f t="shared" si="95"/>
        <v>-1.351</v>
      </c>
      <c r="W334" s="3">
        <f t="shared" si="96"/>
        <v>-11.635999999999999</v>
      </c>
      <c r="Y334" s="3">
        <f t="shared" si="97"/>
        <v>31.990000000000002</v>
      </c>
      <c r="Z334" s="3">
        <f t="shared" si="98"/>
        <v>-12.986999999999998</v>
      </c>
      <c r="AA334" s="3">
        <f t="shared" si="99"/>
        <v>19.003000000000004</v>
      </c>
      <c r="AB334" s="3"/>
      <c r="AC334" s="2" t="str">
        <f t="shared" si="82"/>
        <v>2003-10</v>
      </c>
      <c r="AD334" s="9">
        <f t="shared" si="83"/>
        <v>683.84799999999996</v>
      </c>
      <c r="AE334" s="9">
        <f t="shared" si="84"/>
        <v>-59.930999999999997</v>
      </c>
      <c r="AF334" s="9">
        <f t="shared" si="85"/>
        <v>623.91699999999992</v>
      </c>
      <c r="AG334" s="9"/>
      <c r="AH334" s="10">
        <v>37895</v>
      </c>
      <c r="AI334" s="9">
        <f t="shared" si="86"/>
        <v>234.68100000000001</v>
      </c>
      <c r="AJ334" s="9">
        <f t="shared" si="87"/>
        <v>165.68200000000002</v>
      </c>
      <c r="AK334" s="9">
        <f t="shared" si="88"/>
        <v>252.53400000000002</v>
      </c>
      <c r="AL334" s="9">
        <f t="shared" si="89"/>
        <v>30.951000000000001</v>
      </c>
      <c r="AM334" s="12">
        <f t="shared" si="90"/>
        <v>389.23599999999988</v>
      </c>
    </row>
    <row r="335" spans="1:39" x14ac:dyDescent="0.25">
      <c r="A335">
        <v>99996</v>
      </c>
      <c r="B335" t="s">
        <v>322</v>
      </c>
      <c r="C335" s="13">
        <v>577741</v>
      </c>
      <c r="D335" s="13">
        <v>65405</v>
      </c>
      <c r="E335" s="13">
        <v>85480</v>
      </c>
      <c r="F335" s="13">
        <v>257717</v>
      </c>
      <c r="G335" s="13">
        <v>105035</v>
      </c>
      <c r="H335" s="13">
        <v>122075</v>
      </c>
      <c r="J335" s="13">
        <v>542189</v>
      </c>
      <c r="K335" s="13">
        <v>56160</v>
      </c>
      <c r="L335" s="13">
        <v>56915</v>
      </c>
      <c r="M335" s="13">
        <v>248935</v>
      </c>
      <c r="N335" s="13">
        <v>112558</v>
      </c>
      <c r="O335" s="13">
        <v>125008</v>
      </c>
      <c r="Q335" s="3">
        <f t="shared" si="91"/>
        <v>35.552</v>
      </c>
      <c r="R335" s="3">
        <f t="shared" si="92"/>
        <v>9.2449999999999992</v>
      </c>
      <c r="S335" s="3">
        <f t="shared" si="93"/>
        <v>28.565000000000001</v>
      </c>
      <c r="T335" s="3">
        <f t="shared" si="94"/>
        <v>-7.5229999999999997</v>
      </c>
      <c r="U335" s="3"/>
      <c r="V335" s="3">
        <f t="shared" si="95"/>
        <v>8.782</v>
      </c>
      <c r="W335" s="3">
        <f t="shared" si="96"/>
        <v>-2.9329999999999998</v>
      </c>
      <c r="Y335" s="3">
        <f t="shared" si="97"/>
        <v>65.838999999999999</v>
      </c>
      <c r="Z335" s="3">
        <f t="shared" si="98"/>
        <v>5.8490000000000002</v>
      </c>
      <c r="AA335" s="3">
        <f t="shared" si="99"/>
        <v>71.687999999999988</v>
      </c>
      <c r="AB335" s="3"/>
      <c r="AC335" s="2" t="str">
        <f t="shared" si="82"/>
        <v>2003-11</v>
      </c>
      <c r="AD335" s="9">
        <f t="shared" si="83"/>
        <v>685.80299999999988</v>
      </c>
      <c r="AE335" s="9">
        <f t="shared" si="84"/>
        <v>-59.583999999999989</v>
      </c>
      <c r="AF335" s="9">
        <f t="shared" si="85"/>
        <v>626.21899999999994</v>
      </c>
      <c r="AG335" s="9"/>
      <c r="AH335" s="10">
        <v>37926</v>
      </c>
      <c r="AI335" s="9">
        <f t="shared" si="86"/>
        <v>249.17000000000002</v>
      </c>
      <c r="AJ335" s="9">
        <f t="shared" si="87"/>
        <v>156.53500000000003</v>
      </c>
      <c r="AK335" s="9">
        <f t="shared" si="88"/>
        <v>258.904</v>
      </c>
      <c r="AL335" s="9">
        <f t="shared" si="89"/>
        <v>21.193999999999999</v>
      </c>
      <c r="AM335" s="12">
        <f t="shared" si="90"/>
        <v>377.04899999999992</v>
      </c>
    </row>
    <row r="336" spans="1:39" x14ac:dyDescent="0.25">
      <c r="A336">
        <v>99996</v>
      </c>
      <c r="B336" t="s">
        <v>323</v>
      </c>
      <c r="C336" s="13">
        <v>589382</v>
      </c>
      <c r="D336" s="13">
        <v>66072</v>
      </c>
      <c r="E336" s="13">
        <v>79598</v>
      </c>
      <c r="F336" s="13">
        <v>283779</v>
      </c>
      <c r="G336" s="13">
        <v>113545</v>
      </c>
      <c r="H336" s="13">
        <v>114809</v>
      </c>
      <c r="J336" s="13">
        <v>561493</v>
      </c>
      <c r="K336" s="13">
        <v>51005</v>
      </c>
      <c r="L336" s="13">
        <v>59581</v>
      </c>
      <c r="M336" s="13">
        <v>270786</v>
      </c>
      <c r="N336" s="13">
        <v>107674</v>
      </c>
      <c r="O336" s="13">
        <v>121505</v>
      </c>
      <c r="Q336" s="3">
        <f t="shared" si="91"/>
        <v>27.888999999999999</v>
      </c>
      <c r="R336" s="3">
        <f t="shared" si="92"/>
        <v>15.067</v>
      </c>
      <c r="S336" s="3">
        <f t="shared" si="93"/>
        <v>20.016999999999999</v>
      </c>
      <c r="T336" s="3">
        <f t="shared" si="94"/>
        <v>5.8710000000000004</v>
      </c>
      <c r="U336" s="3"/>
      <c r="V336" s="3">
        <f t="shared" si="95"/>
        <v>12.993</v>
      </c>
      <c r="W336" s="3">
        <f t="shared" si="96"/>
        <v>-6.6959999999999997</v>
      </c>
      <c r="Y336" s="3">
        <f t="shared" si="97"/>
        <v>68.843999999999994</v>
      </c>
      <c r="Z336" s="3">
        <f t="shared" si="98"/>
        <v>6.2970000000000006</v>
      </c>
      <c r="AA336" s="3">
        <f t="shared" si="99"/>
        <v>75.140999999999991</v>
      </c>
      <c r="AB336" s="3"/>
      <c r="AC336" s="2" t="str">
        <f t="shared" si="82"/>
        <v>2003-12</v>
      </c>
      <c r="AD336" s="9">
        <f t="shared" si="83"/>
        <v>717.1690000000001</v>
      </c>
      <c r="AE336" s="9">
        <f t="shared" si="84"/>
        <v>-53.849999999999994</v>
      </c>
      <c r="AF336" s="9">
        <f t="shared" si="85"/>
        <v>663.31899999999996</v>
      </c>
      <c r="AG336" s="9"/>
      <c r="AH336" s="10">
        <v>37956</v>
      </c>
      <c r="AI336" s="9">
        <f t="shared" si="86"/>
        <v>263.58</v>
      </c>
      <c r="AJ336" s="9">
        <f t="shared" si="87"/>
        <v>155.79999999999998</v>
      </c>
      <c r="AK336" s="9">
        <f t="shared" si="88"/>
        <v>265.74299999999999</v>
      </c>
      <c r="AL336" s="9">
        <f t="shared" si="89"/>
        <v>32.045999999999999</v>
      </c>
      <c r="AM336" s="12">
        <f t="shared" si="90"/>
        <v>399.73899999999998</v>
      </c>
    </row>
    <row r="337" spans="1:39" x14ac:dyDescent="0.25">
      <c r="A337">
        <v>99996</v>
      </c>
      <c r="B337" t="s">
        <v>324</v>
      </c>
      <c r="C337" s="13">
        <v>659121</v>
      </c>
      <c r="D337" s="13">
        <v>91522</v>
      </c>
      <c r="E337" s="13">
        <v>81309</v>
      </c>
      <c r="F337" s="13">
        <v>305887</v>
      </c>
      <c r="G337" s="13">
        <v>144718</v>
      </c>
      <c r="H337" s="13">
        <v>127228</v>
      </c>
      <c r="J337" s="13">
        <v>613128</v>
      </c>
      <c r="K337" s="13">
        <v>65506</v>
      </c>
      <c r="L337" s="13">
        <v>70176</v>
      </c>
      <c r="M337" s="13">
        <v>294811</v>
      </c>
      <c r="N337" s="13">
        <v>148267</v>
      </c>
      <c r="O337" s="13">
        <v>137386</v>
      </c>
      <c r="Q337" s="3">
        <f t="shared" si="91"/>
        <v>45.993000000000002</v>
      </c>
      <c r="R337" s="3">
        <f t="shared" si="92"/>
        <v>26.015999999999998</v>
      </c>
      <c r="S337" s="3">
        <f t="shared" si="93"/>
        <v>11.132999999999999</v>
      </c>
      <c r="T337" s="3">
        <f t="shared" si="94"/>
        <v>-3.5489999999999999</v>
      </c>
      <c r="U337" s="3"/>
      <c r="V337" s="3">
        <f t="shared" si="95"/>
        <v>11.076000000000001</v>
      </c>
      <c r="W337" s="3">
        <f t="shared" si="96"/>
        <v>-10.157999999999999</v>
      </c>
      <c r="Y337" s="3">
        <f t="shared" si="97"/>
        <v>79.592999999999989</v>
      </c>
      <c r="Z337" s="3">
        <f t="shared" si="98"/>
        <v>0.91800000000000104</v>
      </c>
      <c r="AA337" s="3">
        <f t="shared" si="99"/>
        <v>80.510999999999981</v>
      </c>
      <c r="AB337" s="3"/>
      <c r="AC337" s="2" t="str">
        <f t="shared" si="82"/>
        <v>2004-01</v>
      </c>
      <c r="AD337" s="9">
        <f t="shared" si="83"/>
        <v>742.53899999999987</v>
      </c>
      <c r="AE337" s="9">
        <f t="shared" si="84"/>
        <v>-43.298999999999999</v>
      </c>
      <c r="AF337" s="9">
        <f t="shared" si="85"/>
        <v>699.2399999999999</v>
      </c>
      <c r="AG337" s="9"/>
      <c r="AH337" s="10">
        <v>37987</v>
      </c>
      <c r="AI337" s="9">
        <f t="shared" si="86"/>
        <v>307.80099999999999</v>
      </c>
      <c r="AJ337" s="9">
        <f t="shared" si="87"/>
        <v>158.09599999999998</v>
      </c>
      <c r="AK337" s="9">
        <f t="shared" si="88"/>
        <v>253.43600000000001</v>
      </c>
      <c r="AL337" s="9">
        <f t="shared" si="89"/>
        <v>23.205999999999996</v>
      </c>
      <c r="AM337" s="12">
        <f t="shared" si="90"/>
        <v>391.43899999999991</v>
      </c>
    </row>
    <row r="338" spans="1:39" x14ac:dyDescent="0.25">
      <c r="A338">
        <v>99996</v>
      </c>
      <c r="B338" t="s">
        <v>325</v>
      </c>
      <c r="C338" s="13">
        <v>662429</v>
      </c>
      <c r="D338" s="13">
        <v>102346</v>
      </c>
      <c r="E338" s="13">
        <v>91047</v>
      </c>
      <c r="F338" s="13">
        <v>301834</v>
      </c>
      <c r="G338" s="13">
        <v>135809</v>
      </c>
      <c r="H338" s="13">
        <v>134384</v>
      </c>
      <c r="J338" s="13">
        <v>636271</v>
      </c>
      <c r="K338" s="13">
        <v>82005</v>
      </c>
      <c r="L338" s="13">
        <v>71286</v>
      </c>
      <c r="M338" s="13">
        <v>299743</v>
      </c>
      <c r="N338" s="13">
        <v>143999</v>
      </c>
      <c r="O338" s="13">
        <v>140100</v>
      </c>
      <c r="Q338" s="3">
        <f t="shared" si="91"/>
        <v>26.158000000000001</v>
      </c>
      <c r="R338" s="3">
        <f t="shared" si="92"/>
        <v>20.341000000000001</v>
      </c>
      <c r="S338" s="3">
        <f t="shared" si="93"/>
        <v>19.760999999999999</v>
      </c>
      <c r="T338" s="3">
        <f t="shared" si="94"/>
        <v>-8.19</v>
      </c>
      <c r="U338" s="3"/>
      <c r="V338" s="3">
        <f t="shared" si="95"/>
        <v>2.0910000000000002</v>
      </c>
      <c r="W338" s="3">
        <f t="shared" si="96"/>
        <v>-5.7160000000000002</v>
      </c>
      <c r="Y338" s="3">
        <f t="shared" si="97"/>
        <v>58.070000000000007</v>
      </c>
      <c r="Z338" s="3">
        <f t="shared" si="98"/>
        <v>-3.625</v>
      </c>
      <c r="AA338" s="3">
        <f t="shared" si="99"/>
        <v>54.445000000000007</v>
      </c>
      <c r="AB338" s="3"/>
      <c r="AC338" s="2" t="str">
        <f t="shared" si="82"/>
        <v>2004-02</v>
      </c>
      <c r="AD338" s="9">
        <f t="shared" si="83"/>
        <v>769.78800000000001</v>
      </c>
      <c r="AE338" s="9">
        <f t="shared" si="84"/>
        <v>-40.768999999999998</v>
      </c>
      <c r="AF338" s="9">
        <f t="shared" si="85"/>
        <v>729.01900000000001</v>
      </c>
      <c r="AG338" s="9"/>
      <c r="AH338" s="10">
        <v>38018</v>
      </c>
      <c r="AI338" s="9">
        <f t="shared" si="86"/>
        <v>337.16899999999998</v>
      </c>
      <c r="AJ338" s="9">
        <f t="shared" si="87"/>
        <v>169.05699999999999</v>
      </c>
      <c r="AK338" s="9">
        <f t="shared" si="88"/>
        <v>260.40900000000005</v>
      </c>
      <c r="AL338" s="9">
        <f t="shared" si="89"/>
        <v>3.1529999999999987</v>
      </c>
      <c r="AM338" s="12">
        <f t="shared" si="90"/>
        <v>391.85</v>
      </c>
    </row>
    <row r="339" spans="1:39" x14ac:dyDescent="0.25">
      <c r="A339">
        <v>99996</v>
      </c>
      <c r="B339" t="s">
        <v>326</v>
      </c>
      <c r="C339" s="13">
        <v>803376</v>
      </c>
      <c r="D339" s="13">
        <v>117318</v>
      </c>
      <c r="E339" s="13">
        <v>114383</v>
      </c>
      <c r="F339" s="13">
        <v>358378</v>
      </c>
      <c r="G339" s="13">
        <v>156701</v>
      </c>
      <c r="H339" s="13">
        <v>172807</v>
      </c>
      <c r="J339" s="13">
        <v>752161</v>
      </c>
      <c r="K339" s="13">
        <v>117942</v>
      </c>
      <c r="L339" s="13">
        <v>87874</v>
      </c>
      <c r="M339" s="13">
        <v>368130</v>
      </c>
      <c r="N339" s="13">
        <v>155860</v>
      </c>
      <c r="O339" s="13">
        <v>170872</v>
      </c>
      <c r="Q339" s="3">
        <f t="shared" si="91"/>
        <v>51.215000000000003</v>
      </c>
      <c r="R339" s="3">
        <f t="shared" si="92"/>
        <v>-0.624</v>
      </c>
      <c r="S339" s="3">
        <f t="shared" si="93"/>
        <v>26.509</v>
      </c>
      <c r="T339" s="3">
        <f t="shared" si="94"/>
        <v>0.84099999999999997</v>
      </c>
      <c r="U339" s="3"/>
      <c r="V339" s="3">
        <f t="shared" si="95"/>
        <v>-9.7520000000000007</v>
      </c>
      <c r="W339" s="3">
        <f t="shared" si="96"/>
        <v>1.9350000000000001</v>
      </c>
      <c r="Y339" s="3">
        <f t="shared" si="97"/>
        <v>77.940999999999988</v>
      </c>
      <c r="Z339" s="3">
        <f t="shared" si="98"/>
        <v>-7.8170000000000002</v>
      </c>
      <c r="AA339" s="3">
        <f t="shared" si="99"/>
        <v>70.123999999999995</v>
      </c>
      <c r="AB339" s="3"/>
      <c r="AC339" s="2" t="str">
        <f t="shared" si="82"/>
        <v>2004-03</v>
      </c>
      <c r="AD339" s="9">
        <f t="shared" si="83"/>
        <v>779.38800000000015</v>
      </c>
      <c r="AE339" s="9">
        <f t="shared" si="84"/>
        <v>-46.456999999999994</v>
      </c>
      <c r="AF339" s="9">
        <f t="shared" si="85"/>
        <v>732.93100000000004</v>
      </c>
      <c r="AG339" s="9"/>
      <c r="AH339" s="10">
        <v>38047</v>
      </c>
      <c r="AI339" s="9">
        <f t="shared" si="86"/>
        <v>361.50300000000004</v>
      </c>
      <c r="AJ339" s="9">
        <f t="shared" si="87"/>
        <v>153.72400000000002</v>
      </c>
      <c r="AK339" s="9">
        <f t="shared" si="88"/>
        <v>260.01100000000002</v>
      </c>
      <c r="AL339" s="9">
        <f t="shared" si="89"/>
        <v>4.1500000000000048</v>
      </c>
      <c r="AM339" s="12">
        <f t="shared" si="90"/>
        <v>371.428</v>
      </c>
    </row>
    <row r="340" spans="1:39" x14ac:dyDescent="0.25">
      <c r="A340">
        <v>99996</v>
      </c>
      <c r="B340" t="s">
        <v>327</v>
      </c>
      <c r="C340" s="13">
        <v>815613</v>
      </c>
      <c r="D340" s="13">
        <v>121181</v>
      </c>
      <c r="E340" s="13">
        <v>90132</v>
      </c>
      <c r="F340" s="13">
        <v>348557</v>
      </c>
      <c r="G340" s="13">
        <v>108725</v>
      </c>
      <c r="H340" s="13">
        <v>151946</v>
      </c>
      <c r="J340" s="13">
        <v>765253</v>
      </c>
      <c r="K340" s="13">
        <v>95084</v>
      </c>
      <c r="L340" s="13">
        <v>71138</v>
      </c>
      <c r="M340" s="13">
        <v>348081</v>
      </c>
      <c r="N340" s="13">
        <v>102695</v>
      </c>
      <c r="O340" s="13">
        <v>161799</v>
      </c>
      <c r="Q340" s="3">
        <f t="shared" si="91"/>
        <v>50.36</v>
      </c>
      <c r="R340" s="3">
        <f t="shared" si="92"/>
        <v>26.097000000000001</v>
      </c>
      <c r="S340" s="3">
        <f t="shared" si="93"/>
        <v>18.994</v>
      </c>
      <c r="T340" s="3">
        <f t="shared" si="94"/>
        <v>6.03</v>
      </c>
      <c r="U340" s="3"/>
      <c r="V340" s="3">
        <f t="shared" si="95"/>
        <v>0.47599999999999998</v>
      </c>
      <c r="W340" s="3">
        <f t="shared" si="96"/>
        <v>-9.8529999999999998</v>
      </c>
      <c r="Y340" s="3">
        <f t="shared" si="97"/>
        <v>101.48099999999999</v>
      </c>
      <c r="Z340" s="3">
        <f t="shared" si="98"/>
        <v>-9.3769999999999989</v>
      </c>
      <c r="AA340" s="3">
        <f t="shared" si="99"/>
        <v>92.103999999999999</v>
      </c>
      <c r="AB340" s="3"/>
      <c r="AC340" s="2" t="str">
        <f t="shared" si="82"/>
        <v>2004-04</v>
      </c>
      <c r="AD340" s="9">
        <f t="shared" si="83"/>
        <v>828.75100000000009</v>
      </c>
      <c r="AE340" s="9">
        <f t="shared" si="84"/>
        <v>-62.567999999999998</v>
      </c>
      <c r="AF340" s="9">
        <f t="shared" si="85"/>
        <v>766.18299999999999</v>
      </c>
      <c r="AG340" s="9"/>
      <c r="AH340" s="10">
        <v>38078</v>
      </c>
      <c r="AI340" s="9">
        <f t="shared" si="86"/>
        <v>403.19800000000009</v>
      </c>
      <c r="AJ340" s="9">
        <f t="shared" si="87"/>
        <v>161.86000000000001</v>
      </c>
      <c r="AK340" s="9">
        <f t="shared" si="88"/>
        <v>256.95400000000006</v>
      </c>
      <c r="AL340" s="9">
        <f t="shared" si="89"/>
        <v>6.7390000000000008</v>
      </c>
      <c r="AM340" s="12">
        <f t="shared" si="90"/>
        <v>362.9849999999999</v>
      </c>
    </row>
    <row r="341" spans="1:39" x14ac:dyDescent="0.25">
      <c r="A341">
        <v>99996</v>
      </c>
      <c r="B341" t="s">
        <v>328</v>
      </c>
      <c r="C341" s="13">
        <v>769294</v>
      </c>
      <c r="D341" s="13">
        <v>125805</v>
      </c>
      <c r="E341" s="13">
        <v>87444</v>
      </c>
      <c r="F341" s="13">
        <v>329686</v>
      </c>
      <c r="G341" s="13">
        <v>109317</v>
      </c>
      <c r="H341" s="13">
        <v>143286</v>
      </c>
      <c r="J341" s="13">
        <v>740652</v>
      </c>
      <c r="K341" s="13">
        <v>106591</v>
      </c>
      <c r="L341" s="13">
        <v>66933</v>
      </c>
      <c r="M341" s="13">
        <v>335189</v>
      </c>
      <c r="N341" s="13">
        <v>110615</v>
      </c>
      <c r="O341" s="13">
        <v>149741</v>
      </c>
      <c r="Q341" s="3">
        <f t="shared" si="91"/>
        <v>28.641999999999999</v>
      </c>
      <c r="R341" s="3">
        <f t="shared" si="92"/>
        <v>19.213999999999999</v>
      </c>
      <c r="S341" s="3">
        <f t="shared" si="93"/>
        <v>20.510999999999999</v>
      </c>
      <c r="T341" s="3">
        <f t="shared" si="94"/>
        <v>-1.298</v>
      </c>
      <c r="U341" s="3"/>
      <c r="V341" s="3">
        <f t="shared" si="95"/>
        <v>-5.5030000000000001</v>
      </c>
      <c r="W341" s="3">
        <f t="shared" si="96"/>
        <v>-6.4550000000000001</v>
      </c>
      <c r="Y341" s="3">
        <f t="shared" si="97"/>
        <v>67.068999999999988</v>
      </c>
      <c r="Z341" s="3">
        <f t="shared" si="98"/>
        <v>-11.958</v>
      </c>
      <c r="AA341" s="3">
        <f t="shared" si="99"/>
        <v>55.11099999999999</v>
      </c>
      <c r="AB341" s="3"/>
      <c r="AC341" s="2" t="str">
        <f t="shared" si="82"/>
        <v>2004-05</v>
      </c>
      <c r="AD341" s="9">
        <f t="shared" si="83"/>
        <v>797.70500000000004</v>
      </c>
      <c r="AE341" s="9">
        <f t="shared" si="84"/>
        <v>-69.403999999999996</v>
      </c>
      <c r="AF341" s="9">
        <f t="shared" si="85"/>
        <v>728.30099999999993</v>
      </c>
      <c r="AG341" s="9"/>
      <c r="AH341" s="10">
        <v>38108</v>
      </c>
      <c r="AI341" s="9">
        <f t="shared" si="86"/>
        <v>390.05500000000001</v>
      </c>
      <c r="AJ341" s="9">
        <f t="shared" si="87"/>
        <v>155.38000000000002</v>
      </c>
      <c r="AK341" s="9">
        <f t="shared" si="88"/>
        <v>250.08699999999999</v>
      </c>
      <c r="AL341" s="9">
        <f t="shared" si="89"/>
        <v>2.1830000000000016</v>
      </c>
      <c r="AM341" s="12">
        <f t="shared" si="90"/>
        <v>338.24599999999992</v>
      </c>
    </row>
    <row r="342" spans="1:39" x14ac:dyDescent="0.25">
      <c r="A342">
        <v>99996</v>
      </c>
      <c r="B342" t="s">
        <v>329</v>
      </c>
      <c r="C342" s="13">
        <v>713758</v>
      </c>
      <c r="D342" s="13">
        <v>110425</v>
      </c>
      <c r="E342" s="13">
        <v>94826</v>
      </c>
      <c r="F342" s="13">
        <v>314560</v>
      </c>
      <c r="G342" s="13">
        <v>109716</v>
      </c>
      <c r="H342" s="13">
        <v>140360</v>
      </c>
      <c r="J342" s="13">
        <v>668411</v>
      </c>
      <c r="K342" s="13">
        <v>96600</v>
      </c>
      <c r="L342" s="13">
        <v>67437</v>
      </c>
      <c r="M342" s="13">
        <v>310822</v>
      </c>
      <c r="N342" s="13">
        <v>110787</v>
      </c>
      <c r="O342" s="13">
        <v>148618</v>
      </c>
      <c r="Q342" s="3">
        <f t="shared" si="91"/>
        <v>45.347000000000001</v>
      </c>
      <c r="R342" s="3">
        <f t="shared" si="92"/>
        <v>13.824999999999999</v>
      </c>
      <c r="S342" s="3">
        <f t="shared" si="93"/>
        <v>27.388999999999999</v>
      </c>
      <c r="T342" s="3">
        <f t="shared" si="94"/>
        <v>-1.071</v>
      </c>
      <c r="U342" s="3"/>
      <c r="V342" s="3">
        <f t="shared" si="95"/>
        <v>3.738</v>
      </c>
      <c r="W342" s="3">
        <f t="shared" si="96"/>
        <v>-8.2579999999999991</v>
      </c>
      <c r="Y342" s="3">
        <f t="shared" si="97"/>
        <v>85.49</v>
      </c>
      <c r="Z342" s="3">
        <f t="shared" si="98"/>
        <v>-4.5199999999999996</v>
      </c>
      <c r="AA342" s="3">
        <f t="shared" si="99"/>
        <v>80.97</v>
      </c>
      <c r="AB342" s="3"/>
      <c r="AC342" s="2" t="str">
        <f t="shared" si="82"/>
        <v>2004-06</v>
      </c>
      <c r="AD342" s="9">
        <f t="shared" si="83"/>
        <v>820.34299999999996</v>
      </c>
      <c r="AE342" s="9">
        <f t="shared" si="84"/>
        <v>-77.004999999999981</v>
      </c>
      <c r="AF342" s="9">
        <f t="shared" si="85"/>
        <v>743.33799999999997</v>
      </c>
      <c r="AG342" s="9"/>
      <c r="AH342" s="10">
        <v>38139</v>
      </c>
      <c r="AI342" s="9">
        <f t="shared" si="86"/>
        <v>395.85099999999994</v>
      </c>
      <c r="AJ342" s="9">
        <f t="shared" si="87"/>
        <v>161.286</v>
      </c>
      <c r="AK342" s="9">
        <f t="shared" si="88"/>
        <v>256.41000000000003</v>
      </c>
      <c r="AL342" s="9">
        <f t="shared" si="89"/>
        <v>6.7960000000000029</v>
      </c>
      <c r="AM342" s="12">
        <f t="shared" si="90"/>
        <v>347.48700000000002</v>
      </c>
    </row>
    <row r="343" spans="1:39" x14ac:dyDescent="0.25">
      <c r="A343">
        <v>99996</v>
      </c>
      <c r="B343" t="s">
        <v>330</v>
      </c>
      <c r="C343" s="13">
        <v>647974</v>
      </c>
      <c r="D343" s="13">
        <v>122036</v>
      </c>
      <c r="E343" s="13">
        <v>97335</v>
      </c>
      <c r="F343" s="13">
        <v>335518</v>
      </c>
      <c r="G343" s="13">
        <v>105341</v>
      </c>
      <c r="H343" s="13">
        <v>129316</v>
      </c>
      <c r="J343" s="13">
        <v>635323</v>
      </c>
      <c r="K343" s="13">
        <v>102764</v>
      </c>
      <c r="L343" s="13">
        <v>68830</v>
      </c>
      <c r="M343" s="13">
        <v>328097</v>
      </c>
      <c r="N343" s="13">
        <v>115105</v>
      </c>
      <c r="O343" s="13">
        <v>138432</v>
      </c>
      <c r="Q343" s="3">
        <f t="shared" si="91"/>
        <v>12.651</v>
      </c>
      <c r="R343" s="3">
        <f t="shared" si="92"/>
        <v>19.271999999999998</v>
      </c>
      <c r="S343" s="3">
        <f t="shared" si="93"/>
        <v>28.504999999999999</v>
      </c>
      <c r="T343" s="3">
        <f t="shared" si="94"/>
        <v>-9.7639999999999993</v>
      </c>
      <c r="U343" s="3"/>
      <c r="V343" s="3">
        <f t="shared" si="95"/>
        <v>7.4210000000000003</v>
      </c>
      <c r="W343" s="3">
        <f t="shared" si="96"/>
        <v>-9.1159999999999997</v>
      </c>
      <c r="Y343" s="3">
        <f t="shared" si="97"/>
        <v>50.664000000000001</v>
      </c>
      <c r="Z343" s="3">
        <f t="shared" si="98"/>
        <v>-1.6949999999999994</v>
      </c>
      <c r="AA343" s="3">
        <f t="shared" si="99"/>
        <v>48.969000000000001</v>
      </c>
      <c r="AB343" s="3"/>
      <c r="AC343" s="2" t="str">
        <f t="shared" si="82"/>
        <v>2004-07</v>
      </c>
      <c r="AD343" s="9">
        <f t="shared" si="83"/>
        <v>770.54</v>
      </c>
      <c r="AE343" s="9">
        <f t="shared" si="84"/>
        <v>-60.629999999999988</v>
      </c>
      <c r="AF343" s="9">
        <f t="shared" si="85"/>
        <v>709.91000000000008</v>
      </c>
      <c r="AG343" s="9"/>
      <c r="AH343" s="10">
        <v>38169</v>
      </c>
      <c r="AI343" s="9">
        <f t="shared" si="86"/>
        <v>357.80599999999998</v>
      </c>
      <c r="AJ343" s="9">
        <f t="shared" si="87"/>
        <v>168.32399999999998</v>
      </c>
      <c r="AK343" s="9">
        <f t="shared" si="88"/>
        <v>258.84300000000002</v>
      </c>
      <c r="AL343" s="9">
        <f t="shared" si="89"/>
        <v>-14.433</v>
      </c>
      <c r="AM343" s="12">
        <f t="shared" si="90"/>
        <v>352.1040000000001</v>
      </c>
    </row>
    <row r="344" spans="1:39" x14ac:dyDescent="0.25">
      <c r="A344">
        <v>99996</v>
      </c>
      <c r="B344" t="s">
        <v>331</v>
      </c>
      <c r="C344" s="13">
        <v>769582</v>
      </c>
      <c r="D344" s="13">
        <v>87388</v>
      </c>
      <c r="E344" s="13">
        <v>87441</v>
      </c>
      <c r="F344" s="13">
        <v>262735</v>
      </c>
      <c r="G344" s="13">
        <v>109220</v>
      </c>
      <c r="H344" s="13">
        <v>124465</v>
      </c>
      <c r="J344" s="13">
        <v>756187</v>
      </c>
      <c r="K344" s="13">
        <v>69897</v>
      </c>
      <c r="L344" s="13">
        <v>62678</v>
      </c>
      <c r="M344" s="13">
        <v>265044</v>
      </c>
      <c r="N344" s="13">
        <v>116798</v>
      </c>
      <c r="O344" s="13">
        <v>125255</v>
      </c>
      <c r="Q344" s="3">
        <f t="shared" si="91"/>
        <v>13.395</v>
      </c>
      <c r="R344" s="3">
        <f t="shared" si="92"/>
        <v>17.491</v>
      </c>
      <c r="S344" s="3">
        <f t="shared" si="93"/>
        <v>24.763000000000002</v>
      </c>
      <c r="T344" s="3">
        <f t="shared" si="94"/>
        <v>-7.5780000000000003</v>
      </c>
      <c r="U344" s="3"/>
      <c r="V344" s="3">
        <f t="shared" si="95"/>
        <v>-2.3090000000000002</v>
      </c>
      <c r="W344" s="3">
        <f t="shared" si="96"/>
        <v>-0.79</v>
      </c>
      <c r="Y344" s="3">
        <f t="shared" si="97"/>
        <v>48.070999999999998</v>
      </c>
      <c r="Z344" s="3">
        <f t="shared" si="98"/>
        <v>-3.0990000000000002</v>
      </c>
      <c r="AA344" s="3">
        <f t="shared" si="99"/>
        <v>44.972000000000001</v>
      </c>
      <c r="AB344" s="3"/>
      <c r="AC344" s="2" t="str">
        <f t="shared" ref="AC344:AC355" si="100">B344</f>
        <v>2004-08</v>
      </c>
      <c r="AD344" s="9">
        <f t="shared" ref="AD344:AD355" si="101">SUM(Y333:Y344)</f>
        <v>773.79199999999992</v>
      </c>
      <c r="AE344" s="9">
        <f t="shared" ref="AE344:AE355" si="102">SUM(Z333:Z344)</f>
        <v>-61.011999999999986</v>
      </c>
      <c r="AF344" s="9">
        <f t="shared" ref="AF344:AF355" si="103">SUM(AA333:AA344)</f>
        <v>712.78</v>
      </c>
      <c r="AG344" s="9"/>
      <c r="AH344" s="10">
        <v>38200</v>
      </c>
      <c r="AI344" s="9">
        <f t="shared" ref="AI344:AI355" si="104">SUM(Q333:Q344)</f>
        <v>354.44999999999993</v>
      </c>
      <c r="AJ344" s="9">
        <f t="shared" ref="AJ344:AJ355" si="105">SUM(R333:R344)</f>
        <v>177.13799999999998</v>
      </c>
      <c r="AK344" s="9">
        <f t="shared" ref="AK344:AK355" si="106">SUM(S333:S344)</f>
        <v>267.04199999999997</v>
      </c>
      <c r="AL344" s="9">
        <f t="shared" ref="AL344:AL355" si="107">SUM(T333:T344)</f>
        <v>-24.837999999999997</v>
      </c>
      <c r="AM344" s="12">
        <f t="shared" ref="AM344:AM355" si="108">AF344-AI344</f>
        <v>358.33000000000004</v>
      </c>
    </row>
    <row r="345" spans="1:39" x14ac:dyDescent="0.25">
      <c r="A345">
        <v>99996</v>
      </c>
      <c r="B345" t="s">
        <v>332</v>
      </c>
      <c r="C345" s="13">
        <v>788602</v>
      </c>
      <c r="D345" s="13">
        <v>79263</v>
      </c>
      <c r="E345" s="13">
        <v>109666</v>
      </c>
      <c r="F345" s="13">
        <v>273164</v>
      </c>
      <c r="G345" s="13">
        <v>114847</v>
      </c>
      <c r="H345" s="13">
        <v>113329</v>
      </c>
      <c r="J345" s="13">
        <v>771563</v>
      </c>
      <c r="K345" s="13">
        <v>70837</v>
      </c>
      <c r="L345" s="13">
        <v>64608</v>
      </c>
      <c r="M345" s="13">
        <v>276510</v>
      </c>
      <c r="N345" s="13">
        <v>140256</v>
      </c>
      <c r="O345" s="13">
        <v>117824</v>
      </c>
      <c r="Q345" s="3">
        <f t="shared" si="91"/>
        <v>17.039000000000001</v>
      </c>
      <c r="R345" s="3">
        <f t="shared" si="92"/>
        <v>8.4260000000000002</v>
      </c>
      <c r="S345" s="3">
        <f t="shared" si="93"/>
        <v>45.058</v>
      </c>
      <c r="T345" s="3">
        <f t="shared" si="94"/>
        <v>-25.408999999999999</v>
      </c>
      <c r="U345" s="3"/>
      <c r="V345" s="3">
        <f t="shared" si="95"/>
        <v>-3.3460000000000001</v>
      </c>
      <c r="W345" s="3">
        <f t="shared" si="96"/>
        <v>-4.4950000000000001</v>
      </c>
      <c r="Y345" s="3">
        <f t="shared" si="97"/>
        <v>45.113999999999997</v>
      </c>
      <c r="Z345" s="3">
        <f t="shared" si="98"/>
        <v>-7.8410000000000002</v>
      </c>
      <c r="AA345" s="3">
        <f t="shared" si="99"/>
        <v>37.273000000000003</v>
      </c>
      <c r="AB345" s="3"/>
      <c r="AC345" s="2" t="str">
        <f t="shared" si="100"/>
        <v>2004-09</v>
      </c>
      <c r="AD345" s="9">
        <f t="shared" si="101"/>
        <v>780.16600000000005</v>
      </c>
      <c r="AE345" s="9">
        <f t="shared" si="102"/>
        <v>-49.854999999999997</v>
      </c>
      <c r="AF345" s="9">
        <f t="shared" si="103"/>
        <v>730.31100000000004</v>
      </c>
      <c r="AG345" s="9"/>
      <c r="AH345" s="10">
        <v>38231</v>
      </c>
      <c r="AI345" s="9">
        <f t="shared" si="104"/>
        <v>364.74299999999994</v>
      </c>
      <c r="AJ345" s="9">
        <f t="shared" si="105"/>
        <v>185.69199999999995</v>
      </c>
      <c r="AK345" s="9">
        <f t="shared" si="106"/>
        <v>291.89600000000002</v>
      </c>
      <c r="AL345" s="9">
        <f t="shared" si="107"/>
        <v>-62.164999999999999</v>
      </c>
      <c r="AM345" s="12">
        <f t="shared" si="108"/>
        <v>365.5680000000001</v>
      </c>
    </row>
    <row r="346" spans="1:39" x14ac:dyDescent="0.25">
      <c r="A346">
        <v>99996</v>
      </c>
      <c r="B346" t="s">
        <v>333</v>
      </c>
      <c r="C346" s="13">
        <v>698172</v>
      </c>
      <c r="D346" s="13">
        <v>82829</v>
      </c>
      <c r="E346" s="13">
        <v>90198</v>
      </c>
      <c r="F346" s="13">
        <v>322610</v>
      </c>
      <c r="G346" s="13">
        <v>123141</v>
      </c>
      <c r="H346" s="13">
        <v>131727</v>
      </c>
      <c r="J346" s="13">
        <v>678969</v>
      </c>
      <c r="K346" s="13">
        <v>60891</v>
      </c>
      <c r="L346" s="13">
        <v>70458</v>
      </c>
      <c r="M346" s="13">
        <v>319707</v>
      </c>
      <c r="N346" s="13">
        <v>128735</v>
      </c>
      <c r="O346" s="13">
        <v>141929</v>
      </c>
      <c r="Q346" s="3">
        <f t="shared" si="91"/>
        <v>19.202999999999999</v>
      </c>
      <c r="R346" s="3">
        <f t="shared" si="92"/>
        <v>21.937999999999999</v>
      </c>
      <c r="S346" s="3">
        <f t="shared" si="93"/>
        <v>19.739999999999998</v>
      </c>
      <c r="T346" s="3">
        <f t="shared" si="94"/>
        <v>-5.5940000000000003</v>
      </c>
      <c r="U346" s="3"/>
      <c r="V346" s="3">
        <f t="shared" si="95"/>
        <v>2.903</v>
      </c>
      <c r="W346" s="3">
        <f t="shared" si="96"/>
        <v>-10.202</v>
      </c>
      <c r="Y346" s="3">
        <f t="shared" si="97"/>
        <v>55.286999999999999</v>
      </c>
      <c r="Z346" s="3">
        <f t="shared" si="98"/>
        <v>-7.2989999999999995</v>
      </c>
      <c r="AA346" s="3">
        <f t="shared" si="99"/>
        <v>47.988</v>
      </c>
      <c r="AB346" s="3"/>
      <c r="AC346" s="2" t="str">
        <f t="shared" si="100"/>
        <v>2004-10</v>
      </c>
      <c r="AD346" s="9">
        <f t="shared" si="101"/>
        <v>803.46300000000008</v>
      </c>
      <c r="AE346" s="9">
        <f t="shared" si="102"/>
        <v>-44.166999999999994</v>
      </c>
      <c r="AF346" s="9">
        <f t="shared" si="103"/>
        <v>759.29600000000005</v>
      </c>
      <c r="AG346" s="9"/>
      <c r="AH346" s="10">
        <v>38261</v>
      </c>
      <c r="AI346" s="9">
        <f t="shared" si="104"/>
        <v>373.4439999999999</v>
      </c>
      <c r="AJ346" s="9">
        <f t="shared" si="105"/>
        <v>196.30799999999994</v>
      </c>
      <c r="AK346" s="9">
        <f t="shared" si="106"/>
        <v>290.94500000000005</v>
      </c>
      <c r="AL346" s="9">
        <f t="shared" si="107"/>
        <v>-57.234000000000002</v>
      </c>
      <c r="AM346" s="12">
        <f t="shared" si="108"/>
        <v>385.85200000000015</v>
      </c>
    </row>
    <row r="347" spans="1:39" x14ac:dyDescent="0.25">
      <c r="A347">
        <v>99996</v>
      </c>
      <c r="B347" t="s">
        <v>334</v>
      </c>
      <c r="C347" s="13">
        <v>844569</v>
      </c>
      <c r="D347" s="13">
        <v>94787</v>
      </c>
      <c r="E347" s="13">
        <v>110037</v>
      </c>
      <c r="F347" s="13">
        <v>356270</v>
      </c>
      <c r="G347" s="13">
        <v>122588</v>
      </c>
      <c r="H347" s="13">
        <v>151624</v>
      </c>
      <c r="J347" s="13">
        <v>810847</v>
      </c>
      <c r="K347" s="13">
        <v>66989</v>
      </c>
      <c r="L347" s="13">
        <v>83848</v>
      </c>
      <c r="M347" s="13">
        <v>342528</v>
      </c>
      <c r="N347" s="13">
        <v>126585</v>
      </c>
      <c r="O347" s="13">
        <v>159401</v>
      </c>
      <c r="Q347" s="3">
        <f t="shared" si="91"/>
        <v>33.722000000000001</v>
      </c>
      <c r="R347" s="3">
        <f t="shared" si="92"/>
        <v>27.797999999999998</v>
      </c>
      <c r="S347" s="3">
        <f t="shared" si="93"/>
        <v>26.189</v>
      </c>
      <c r="T347" s="3">
        <f t="shared" si="94"/>
        <v>-3.9969999999999999</v>
      </c>
      <c r="U347" s="3"/>
      <c r="V347" s="3">
        <f t="shared" si="95"/>
        <v>13.742000000000001</v>
      </c>
      <c r="W347" s="3">
        <f t="shared" si="96"/>
        <v>-7.7770000000000001</v>
      </c>
      <c r="Y347" s="3">
        <f t="shared" si="97"/>
        <v>83.712000000000003</v>
      </c>
      <c r="Z347" s="3">
        <f t="shared" si="98"/>
        <v>5.9650000000000007</v>
      </c>
      <c r="AA347" s="3">
        <f t="shared" si="99"/>
        <v>89.677000000000007</v>
      </c>
      <c r="AB347" s="3"/>
      <c r="AC347" s="2" t="str">
        <f t="shared" si="100"/>
        <v>2004-11</v>
      </c>
      <c r="AD347" s="9">
        <f t="shared" si="101"/>
        <v>821.33600000000001</v>
      </c>
      <c r="AE347" s="9">
        <f t="shared" si="102"/>
        <v>-44.050999999999995</v>
      </c>
      <c r="AF347" s="9">
        <f t="shared" si="103"/>
        <v>777.28499999999997</v>
      </c>
      <c r="AG347" s="9"/>
      <c r="AH347" s="10">
        <v>38292</v>
      </c>
      <c r="AI347" s="9">
        <f t="shared" si="104"/>
        <v>371.61399999999992</v>
      </c>
      <c r="AJ347" s="9">
        <f t="shared" si="105"/>
        <v>214.86099999999999</v>
      </c>
      <c r="AK347" s="9">
        <f t="shared" si="106"/>
        <v>288.56900000000002</v>
      </c>
      <c r="AL347" s="9">
        <f t="shared" si="107"/>
        <v>-53.707999999999998</v>
      </c>
      <c r="AM347" s="12">
        <f t="shared" si="108"/>
        <v>405.67100000000005</v>
      </c>
    </row>
    <row r="348" spans="1:39" x14ac:dyDescent="0.25">
      <c r="A348">
        <v>99996</v>
      </c>
      <c r="B348" t="s">
        <v>335</v>
      </c>
      <c r="C348" s="13">
        <v>763555</v>
      </c>
      <c r="D348" s="13">
        <v>74481</v>
      </c>
      <c r="E348" s="13">
        <v>117597</v>
      </c>
      <c r="F348" s="13">
        <v>352844</v>
      </c>
      <c r="G348" s="13">
        <v>118920</v>
      </c>
      <c r="H348" s="13">
        <v>143604</v>
      </c>
      <c r="J348" s="13">
        <v>755201</v>
      </c>
      <c r="K348" s="13">
        <v>47874</v>
      </c>
      <c r="L348" s="13">
        <v>76649</v>
      </c>
      <c r="M348" s="13">
        <v>344905</v>
      </c>
      <c r="N348" s="13">
        <v>127213</v>
      </c>
      <c r="O348" s="13">
        <v>157689</v>
      </c>
      <c r="Q348" s="3">
        <f t="shared" si="91"/>
        <v>8.3539999999999992</v>
      </c>
      <c r="R348" s="3">
        <f t="shared" si="92"/>
        <v>26.606999999999999</v>
      </c>
      <c r="S348" s="3">
        <f t="shared" si="93"/>
        <v>40.948</v>
      </c>
      <c r="T348" s="3">
        <f t="shared" si="94"/>
        <v>-8.2929999999999993</v>
      </c>
      <c r="U348" s="3"/>
      <c r="V348" s="3">
        <f t="shared" si="95"/>
        <v>7.9390000000000001</v>
      </c>
      <c r="W348" s="3">
        <f t="shared" si="96"/>
        <v>-14.085000000000001</v>
      </c>
      <c r="Y348" s="3">
        <f t="shared" si="97"/>
        <v>67.615999999999985</v>
      </c>
      <c r="Z348" s="3">
        <f t="shared" si="98"/>
        <v>-6.1460000000000008</v>
      </c>
      <c r="AA348" s="3">
        <f t="shared" si="99"/>
        <v>61.469999999999978</v>
      </c>
      <c r="AB348" s="3"/>
      <c r="AC348" s="2" t="str">
        <f t="shared" si="100"/>
        <v>2004-12</v>
      </c>
      <c r="AD348" s="9">
        <f t="shared" si="101"/>
        <v>820.10800000000006</v>
      </c>
      <c r="AE348" s="9">
        <f t="shared" si="102"/>
        <v>-56.493999999999986</v>
      </c>
      <c r="AF348" s="9">
        <f t="shared" si="103"/>
        <v>763.61400000000015</v>
      </c>
      <c r="AG348" s="9"/>
      <c r="AH348" s="10">
        <v>38322</v>
      </c>
      <c r="AI348" s="9">
        <f t="shared" si="104"/>
        <v>352.07899999999989</v>
      </c>
      <c r="AJ348" s="9">
        <f t="shared" si="105"/>
        <v>226.40099999999998</v>
      </c>
      <c r="AK348" s="9">
        <f t="shared" si="106"/>
        <v>309.5</v>
      </c>
      <c r="AL348" s="9">
        <f t="shared" si="107"/>
        <v>-67.872</v>
      </c>
      <c r="AM348" s="12">
        <f t="shared" si="108"/>
        <v>411.53500000000025</v>
      </c>
    </row>
    <row r="349" spans="1:39" x14ac:dyDescent="0.25">
      <c r="A349">
        <v>99996</v>
      </c>
      <c r="B349" t="s">
        <v>336</v>
      </c>
      <c r="C349" s="13">
        <v>780610</v>
      </c>
      <c r="D349" s="13">
        <v>87482</v>
      </c>
      <c r="E349" s="13">
        <v>89681</v>
      </c>
      <c r="F349" s="13">
        <v>329340</v>
      </c>
      <c r="G349" s="13">
        <v>108095</v>
      </c>
      <c r="H349" s="13">
        <v>135125</v>
      </c>
      <c r="J349" s="13">
        <v>747658</v>
      </c>
      <c r="K349" s="13">
        <v>62087</v>
      </c>
      <c r="L349" s="13">
        <v>71650</v>
      </c>
      <c r="M349" s="13">
        <v>316730</v>
      </c>
      <c r="N349" s="13">
        <v>109806</v>
      </c>
      <c r="O349" s="13">
        <v>140584</v>
      </c>
      <c r="Q349" s="3">
        <f t="shared" si="91"/>
        <v>32.951999999999998</v>
      </c>
      <c r="R349" s="3">
        <f t="shared" si="92"/>
        <v>25.395</v>
      </c>
      <c r="S349" s="3">
        <f t="shared" si="93"/>
        <v>18.030999999999999</v>
      </c>
      <c r="T349" s="3">
        <f t="shared" si="94"/>
        <v>-1.7110000000000001</v>
      </c>
      <c r="U349" s="3"/>
      <c r="V349" s="3">
        <f t="shared" si="95"/>
        <v>12.61</v>
      </c>
      <c r="W349" s="3">
        <f t="shared" si="96"/>
        <v>-5.4589999999999996</v>
      </c>
      <c r="Y349" s="3">
        <f t="shared" si="97"/>
        <v>74.666999999999987</v>
      </c>
      <c r="Z349" s="3">
        <f t="shared" si="98"/>
        <v>7.1509999999999998</v>
      </c>
      <c r="AA349" s="3">
        <f t="shared" si="99"/>
        <v>81.817999999999984</v>
      </c>
      <c r="AB349" s="3"/>
      <c r="AC349" s="2" t="str">
        <f t="shared" si="100"/>
        <v>2005-01</v>
      </c>
      <c r="AD349" s="9">
        <f t="shared" si="101"/>
        <v>815.18200000000002</v>
      </c>
      <c r="AE349" s="9">
        <f t="shared" si="102"/>
        <v>-50.260999999999996</v>
      </c>
      <c r="AF349" s="9">
        <f t="shared" si="103"/>
        <v>764.92100000000005</v>
      </c>
      <c r="AG349" s="9"/>
      <c r="AH349" s="10">
        <v>38353</v>
      </c>
      <c r="AI349" s="9">
        <f t="shared" si="104"/>
        <v>339.03799999999995</v>
      </c>
      <c r="AJ349" s="9">
        <f t="shared" si="105"/>
        <v>225.78</v>
      </c>
      <c r="AK349" s="9">
        <f t="shared" si="106"/>
        <v>316.39799999999997</v>
      </c>
      <c r="AL349" s="9">
        <f t="shared" si="107"/>
        <v>-66.033999999999992</v>
      </c>
      <c r="AM349" s="12">
        <f t="shared" si="108"/>
        <v>425.8830000000001</v>
      </c>
    </row>
    <row r="350" spans="1:39" x14ac:dyDescent="0.25">
      <c r="A350">
        <v>99996</v>
      </c>
      <c r="B350" t="s">
        <v>337</v>
      </c>
      <c r="C350" s="13">
        <v>834082</v>
      </c>
      <c r="D350" s="13">
        <v>85023</v>
      </c>
      <c r="E350" s="13">
        <v>110189</v>
      </c>
      <c r="F350" s="13">
        <v>335446</v>
      </c>
      <c r="G350" s="13">
        <v>120494</v>
      </c>
      <c r="H350" s="13">
        <v>155118</v>
      </c>
      <c r="J350" s="13">
        <v>789537</v>
      </c>
      <c r="K350" s="13">
        <v>70507</v>
      </c>
      <c r="L350" s="13">
        <v>79153</v>
      </c>
      <c r="M350" s="13">
        <v>334156</v>
      </c>
      <c r="N350" s="13">
        <v>120875</v>
      </c>
      <c r="O350" s="13">
        <v>170214</v>
      </c>
      <c r="Q350" s="3">
        <f t="shared" si="91"/>
        <v>44.545000000000002</v>
      </c>
      <c r="R350" s="3">
        <f t="shared" si="92"/>
        <v>14.516</v>
      </c>
      <c r="S350" s="3">
        <f t="shared" si="93"/>
        <v>31.036000000000001</v>
      </c>
      <c r="T350" s="3">
        <f t="shared" si="94"/>
        <v>-0.38100000000000001</v>
      </c>
      <c r="U350" s="3"/>
      <c r="V350" s="3">
        <f t="shared" si="95"/>
        <v>1.29</v>
      </c>
      <c r="W350" s="3">
        <f t="shared" si="96"/>
        <v>-15.096</v>
      </c>
      <c r="Y350" s="3">
        <f t="shared" si="97"/>
        <v>89.716000000000008</v>
      </c>
      <c r="Z350" s="3">
        <f t="shared" si="98"/>
        <v>-13.806000000000001</v>
      </c>
      <c r="AA350" s="3">
        <f t="shared" si="99"/>
        <v>75.910000000000011</v>
      </c>
      <c r="AB350" s="3"/>
      <c r="AC350" s="2" t="str">
        <f t="shared" si="100"/>
        <v>2005-02</v>
      </c>
      <c r="AD350" s="9">
        <f t="shared" si="101"/>
        <v>846.82799999999986</v>
      </c>
      <c r="AE350" s="9">
        <f t="shared" si="102"/>
        <v>-60.441999999999993</v>
      </c>
      <c r="AF350" s="9">
        <f t="shared" si="103"/>
        <v>786.38599999999997</v>
      </c>
      <c r="AG350" s="9"/>
      <c r="AH350" s="10">
        <v>38384</v>
      </c>
      <c r="AI350" s="9">
        <f t="shared" si="104"/>
        <v>357.42500000000007</v>
      </c>
      <c r="AJ350" s="9">
        <f t="shared" si="105"/>
        <v>219.95499999999998</v>
      </c>
      <c r="AK350" s="9">
        <f t="shared" si="106"/>
        <v>327.673</v>
      </c>
      <c r="AL350" s="9">
        <f t="shared" si="107"/>
        <v>-58.224999999999994</v>
      </c>
      <c r="AM350" s="12">
        <f t="shared" si="108"/>
        <v>428.9609999999999</v>
      </c>
    </row>
    <row r="351" spans="1:39" x14ac:dyDescent="0.25">
      <c r="A351">
        <v>99996</v>
      </c>
      <c r="B351" t="s">
        <v>338</v>
      </c>
      <c r="C351" s="13">
        <v>920441</v>
      </c>
      <c r="D351" s="13">
        <v>88935</v>
      </c>
      <c r="E351" s="13">
        <v>114152</v>
      </c>
      <c r="F351" s="13">
        <v>401149</v>
      </c>
      <c r="G351" s="13">
        <v>128192</v>
      </c>
      <c r="H351" s="13">
        <v>196598</v>
      </c>
      <c r="J351" s="13">
        <v>886278</v>
      </c>
      <c r="K351" s="13">
        <v>81431</v>
      </c>
      <c r="L351" s="13">
        <v>93334</v>
      </c>
      <c r="M351" s="13">
        <v>398402</v>
      </c>
      <c r="N351" s="13">
        <v>134887</v>
      </c>
      <c r="O351" s="13">
        <v>211681</v>
      </c>
      <c r="Q351" s="3">
        <f t="shared" si="91"/>
        <v>34.162999999999997</v>
      </c>
      <c r="R351" s="3">
        <f t="shared" si="92"/>
        <v>7.5039999999999996</v>
      </c>
      <c r="S351" s="3">
        <f t="shared" si="93"/>
        <v>20.818000000000001</v>
      </c>
      <c r="T351" s="3">
        <f t="shared" si="94"/>
        <v>-6.6950000000000003</v>
      </c>
      <c r="U351" s="3"/>
      <c r="V351" s="3">
        <f t="shared" si="95"/>
        <v>2.7469999999999999</v>
      </c>
      <c r="W351" s="3">
        <f t="shared" si="96"/>
        <v>-15.083</v>
      </c>
      <c r="Y351" s="3">
        <f t="shared" si="97"/>
        <v>55.79</v>
      </c>
      <c r="Z351" s="3">
        <f t="shared" si="98"/>
        <v>-12.336</v>
      </c>
      <c r="AA351" s="3">
        <f t="shared" si="99"/>
        <v>43.454000000000001</v>
      </c>
      <c r="AB351" s="3"/>
      <c r="AC351" s="2" t="str">
        <f t="shared" si="100"/>
        <v>2005-03</v>
      </c>
      <c r="AD351" s="9">
        <f t="shared" si="101"/>
        <v>824.67699999999991</v>
      </c>
      <c r="AE351" s="9">
        <f t="shared" si="102"/>
        <v>-64.960999999999999</v>
      </c>
      <c r="AF351" s="9">
        <f t="shared" si="103"/>
        <v>759.71599999999989</v>
      </c>
      <c r="AG351" s="9"/>
      <c r="AH351" s="10">
        <v>38412</v>
      </c>
      <c r="AI351" s="9">
        <f t="shared" si="104"/>
        <v>340.37300000000005</v>
      </c>
      <c r="AJ351" s="9">
        <f t="shared" si="105"/>
        <v>228.08299999999997</v>
      </c>
      <c r="AK351" s="9">
        <f t="shared" si="106"/>
        <v>321.98199999999997</v>
      </c>
      <c r="AL351" s="9">
        <f t="shared" si="107"/>
        <v>-65.760999999999996</v>
      </c>
      <c r="AM351" s="12">
        <f t="shared" si="108"/>
        <v>419.34299999999985</v>
      </c>
    </row>
    <row r="352" spans="1:39" x14ac:dyDescent="0.25">
      <c r="A352">
        <v>99996</v>
      </c>
      <c r="B352" t="s">
        <v>339</v>
      </c>
      <c r="C352" s="13">
        <v>818359</v>
      </c>
      <c r="D352" s="13">
        <v>85431</v>
      </c>
      <c r="E352" s="13">
        <v>93325</v>
      </c>
      <c r="F352" s="13">
        <v>410171</v>
      </c>
      <c r="G352" s="13">
        <v>111678</v>
      </c>
      <c r="H352" s="13">
        <v>173249</v>
      </c>
      <c r="J352" s="13">
        <v>788650</v>
      </c>
      <c r="K352" s="13">
        <v>78461</v>
      </c>
      <c r="L352" s="13">
        <v>75499</v>
      </c>
      <c r="M352" s="13">
        <v>406036</v>
      </c>
      <c r="N352" s="13">
        <v>117877</v>
      </c>
      <c r="O352" s="13">
        <v>175764</v>
      </c>
      <c r="Q352" s="3">
        <f t="shared" si="91"/>
        <v>29.709</v>
      </c>
      <c r="R352" s="3">
        <f t="shared" si="92"/>
        <v>6.97</v>
      </c>
      <c r="S352" s="3">
        <f t="shared" si="93"/>
        <v>17.826000000000001</v>
      </c>
      <c r="T352" s="3">
        <f t="shared" si="94"/>
        <v>-6.1989999999999998</v>
      </c>
      <c r="U352" s="3"/>
      <c r="V352" s="3">
        <f t="shared" si="95"/>
        <v>4.1349999999999998</v>
      </c>
      <c r="W352" s="3">
        <f t="shared" si="96"/>
        <v>-2.5150000000000001</v>
      </c>
      <c r="Y352" s="3">
        <f t="shared" si="97"/>
        <v>48.306000000000004</v>
      </c>
      <c r="Z352" s="3">
        <f t="shared" si="98"/>
        <v>1.6199999999999997</v>
      </c>
      <c r="AA352" s="3">
        <f t="shared" si="99"/>
        <v>49.926000000000002</v>
      </c>
      <c r="AC352" s="2" t="str">
        <f t="shared" si="100"/>
        <v>2005-04</v>
      </c>
      <c r="AD352" s="9">
        <f t="shared" si="101"/>
        <v>771.50199999999995</v>
      </c>
      <c r="AE352" s="9">
        <f t="shared" si="102"/>
        <v>-53.964000000000006</v>
      </c>
      <c r="AF352" s="9">
        <f t="shared" si="103"/>
        <v>717.53800000000001</v>
      </c>
      <c r="AG352" s="9"/>
      <c r="AH352" s="10">
        <v>38443</v>
      </c>
      <c r="AI352" s="9">
        <f t="shared" si="104"/>
        <v>319.72200000000004</v>
      </c>
      <c r="AJ352" s="9">
        <f t="shared" si="105"/>
        <v>208.95599999999999</v>
      </c>
      <c r="AK352" s="9">
        <f t="shared" si="106"/>
        <v>320.81400000000002</v>
      </c>
      <c r="AL352" s="9">
        <f t="shared" si="107"/>
        <v>-77.989999999999995</v>
      </c>
      <c r="AM352" s="12">
        <f t="shared" si="108"/>
        <v>397.81599999999997</v>
      </c>
    </row>
    <row r="353" spans="1:39" x14ac:dyDescent="0.25">
      <c r="A353">
        <v>99996</v>
      </c>
      <c r="B353" t="s">
        <v>340</v>
      </c>
      <c r="C353" s="13">
        <v>935686</v>
      </c>
      <c r="D353" s="13">
        <v>80945</v>
      </c>
      <c r="E353" s="13">
        <v>97368</v>
      </c>
      <c r="F353" s="13">
        <v>380717</v>
      </c>
      <c r="G353" s="13">
        <v>122749</v>
      </c>
      <c r="H353" s="13">
        <v>162620</v>
      </c>
      <c r="J353" s="13">
        <v>934063</v>
      </c>
      <c r="K353" s="13">
        <v>59501</v>
      </c>
      <c r="L353" s="13">
        <v>77958</v>
      </c>
      <c r="M353" s="13">
        <v>380336</v>
      </c>
      <c r="N353" s="13">
        <v>134018</v>
      </c>
      <c r="O353" s="13">
        <v>167351</v>
      </c>
      <c r="Q353" s="3">
        <f t="shared" si="91"/>
        <v>1.623</v>
      </c>
      <c r="R353" s="3">
        <f t="shared" si="92"/>
        <v>21.443999999999999</v>
      </c>
      <c r="S353" s="3">
        <f t="shared" si="93"/>
        <v>19.41</v>
      </c>
      <c r="T353" s="3">
        <f t="shared" si="94"/>
        <v>-11.269</v>
      </c>
      <c r="V353" s="3">
        <f t="shared" si="95"/>
        <v>0.38100000000000001</v>
      </c>
      <c r="W353" s="3">
        <f t="shared" si="96"/>
        <v>-4.7309999999999999</v>
      </c>
      <c r="Y353" s="3">
        <f t="shared" si="97"/>
        <v>31.208000000000006</v>
      </c>
      <c r="Z353" s="3">
        <f t="shared" si="98"/>
        <v>-4.3499999999999996</v>
      </c>
      <c r="AA353" s="3">
        <f t="shared" si="99"/>
        <v>26.858000000000004</v>
      </c>
      <c r="AC353" s="2" t="str">
        <f t="shared" si="100"/>
        <v>2005-05</v>
      </c>
      <c r="AD353" s="9">
        <f t="shared" si="101"/>
        <v>735.64099999999996</v>
      </c>
      <c r="AE353" s="9">
        <f t="shared" si="102"/>
        <v>-46.356000000000009</v>
      </c>
      <c r="AF353" s="9">
        <f t="shared" si="103"/>
        <v>689.28500000000008</v>
      </c>
      <c r="AG353" s="9"/>
      <c r="AH353" s="10">
        <v>38473</v>
      </c>
      <c r="AI353" s="9">
        <f t="shared" si="104"/>
        <v>292.70300000000003</v>
      </c>
      <c r="AJ353" s="9">
        <f t="shared" si="105"/>
        <v>211.18599999999998</v>
      </c>
      <c r="AK353" s="9">
        <f t="shared" si="106"/>
        <v>319.71300000000002</v>
      </c>
      <c r="AL353" s="9">
        <f t="shared" si="107"/>
        <v>-87.960999999999999</v>
      </c>
      <c r="AM353" s="12">
        <f t="shared" si="108"/>
        <v>396.58200000000005</v>
      </c>
    </row>
    <row r="354" spans="1:39" x14ac:dyDescent="0.25">
      <c r="A354">
        <v>99996</v>
      </c>
      <c r="B354" t="s">
        <v>341</v>
      </c>
      <c r="C354">
        <v>923155</v>
      </c>
      <c r="D354">
        <v>85647</v>
      </c>
      <c r="E354">
        <v>138317</v>
      </c>
      <c r="F354">
        <v>376542</v>
      </c>
      <c r="G354">
        <v>141848</v>
      </c>
      <c r="H354">
        <v>164068</v>
      </c>
      <c r="J354">
        <v>903482</v>
      </c>
      <c r="K354">
        <v>67004</v>
      </c>
      <c r="L354">
        <v>87822</v>
      </c>
      <c r="M354">
        <v>372847</v>
      </c>
      <c r="N354">
        <v>146886</v>
      </c>
      <c r="O354">
        <v>176563</v>
      </c>
      <c r="Q354" s="3">
        <f t="shared" si="91"/>
        <v>19.672999999999998</v>
      </c>
      <c r="R354" s="3">
        <f t="shared" si="92"/>
        <v>18.643000000000001</v>
      </c>
      <c r="S354" s="3">
        <f t="shared" si="93"/>
        <v>50.494999999999997</v>
      </c>
      <c r="T354" s="3">
        <f t="shared" si="94"/>
        <v>-5.0380000000000003</v>
      </c>
      <c r="V354" s="3">
        <f t="shared" si="95"/>
        <v>3.6949999999999998</v>
      </c>
      <c r="W354" s="3">
        <f t="shared" si="96"/>
        <v>-12.494999999999999</v>
      </c>
      <c r="Y354" s="3">
        <f t="shared" si="97"/>
        <v>83.77300000000001</v>
      </c>
      <c r="Z354" s="3">
        <f t="shared" si="98"/>
        <v>-8.7999999999999989</v>
      </c>
      <c r="AA354" s="3">
        <f t="shared" si="99"/>
        <v>74.972999999999999</v>
      </c>
      <c r="AC354" s="2" t="str">
        <f t="shared" si="100"/>
        <v>2005-06</v>
      </c>
      <c r="AD354" s="9">
        <f t="shared" si="101"/>
        <v>733.92399999999998</v>
      </c>
      <c r="AE354" s="9">
        <f t="shared" si="102"/>
        <v>-50.636000000000003</v>
      </c>
      <c r="AF354" s="9">
        <f t="shared" si="103"/>
        <v>683.28800000000001</v>
      </c>
      <c r="AG354" s="9"/>
      <c r="AH354" s="10">
        <v>38504</v>
      </c>
      <c r="AI354" s="9">
        <f t="shared" si="104"/>
        <v>267.029</v>
      </c>
      <c r="AJ354" s="9">
        <f t="shared" si="105"/>
        <v>216.00399999999996</v>
      </c>
      <c r="AK354" s="9">
        <f t="shared" si="106"/>
        <v>342.81900000000007</v>
      </c>
      <c r="AL354" s="9">
        <f t="shared" si="107"/>
        <v>-91.927999999999997</v>
      </c>
      <c r="AM354" s="12">
        <f t="shared" si="108"/>
        <v>416.25900000000001</v>
      </c>
    </row>
    <row r="355" spans="1:39" x14ac:dyDescent="0.25">
      <c r="A355">
        <v>99996</v>
      </c>
      <c r="B355" t="s">
        <v>342</v>
      </c>
      <c r="C355">
        <v>745118</v>
      </c>
      <c r="D355">
        <v>97566</v>
      </c>
      <c r="E355">
        <v>90185</v>
      </c>
      <c r="F355">
        <v>354081</v>
      </c>
      <c r="G355">
        <v>107213</v>
      </c>
      <c r="H355">
        <v>164363</v>
      </c>
      <c r="J355">
        <v>716447</v>
      </c>
      <c r="K355">
        <v>62878</v>
      </c>
      <c r="L355">
        <v>66794</v>
      </c>
      <c r="M355">
        <v>346363</v>
      </c>
      <c r="N355">
        <v>116092</v>
      </c>
      <c r="O355">
        <v>173171</v>
      </c>
      <c r="Q355" s="3">
        <f t="shared" si="91"/>
        <v>28.670999999999999</v>
      </c>
      <c r="R355" s="3">
        <f t="shared" si="92"/>
        <v>34.688000000000002</v>
      </c>
      <c r="S355" s="3">
        <f t="shared" si="93"/>
        <v>23.390999999999998</v>
      </c>
      <c r="T355" s="3">
        <f t="shared" si="94"/>
        <v>-8.8789999999999996</v>
      </c>
      <c r="V355" s="3">
        <f t="shared" si="95"/>
        <v>7.718</v>
      </c>
      <c r="W355" s="3">
        <f t="shared" si="96"/>
        <v>-8.8079999999999998</v>
      </c>
      <c r="Y355" s="3">
        <f t="shared" si="97"/>
        <v>77.870999999999995</v>
      </c>
      <c r="Z355" s="3">
        <f t="shared" si="98"/>
        <v>-1.0899999999999999</v>
      </c>
      <c r="AA355" s="3">
        <f t="shared" si="99"/>
        <v>76.781000000000006</v>
      </c>
      <c r="AC355" s="2" t="str">
        <f t="shared" si="100"/>
        <v>2005-07</v>
      </c>
      <c r="AD355" s="9">
        <f t="shared" si="101"/>
        <v>761.13099999999997</v>
      </c>
      <c r="AE355" s="9">
        <f t="shared" si="102"/>
        <v>-50.031000000000006</v>
      </c>
      <c r="AF355" s="9">
        <f t="shared" si="103"/>
        <v>711.09999999999991</v>
      </c>
      <c r="AG355" s="9"/>
      <c r="AH355" s="10">
        <v>38534</v>
      </c>
      <c r="AI355" s="9">
        <f t="shared" si="104"/>
        <v>283.04899999999998</v>
      </c>
      <c r="AJ355" s="9">
        <f t="shared" si="105"/>
        <v>231.41999999999996</v>
      </c>
      <c r="AK355" s="9">
        <f t="shared" si="106"/>
        <v>337.70500000000004</v>
      </c>
      <c r="AL355" s="9">
        <f t="shared" si="107"/>
        <v>-91.043000000000006</v>
      </c>
      <c r="AM355" s="12">
        <f t="shared" si="108"/>
        <v>428.05099999999993</v>
      </c>
    </row>
    <row r="356" spans="1:39" x14ac:dyDescent="0.25">
      <c r="A356">
        <v>99996</v>
      </c>
      <c r="B356" t="s">
        <v>421</v>
      </c>
      <c r="C356">
        <v>832694</v>
      </c>
      <c r="D356">
        <v>93424</v>
      </c>
      <c r="E356">
        <v>109802</v>
      </c>
      <c r="F356">
        <v>395049</v>
      </c>
      <c r="G356">
        <v>123768</v>
      </c>
      <c r="H356">
        <v>188106</v>
      </c>
      <c r="J356">
        <v>807131</v>
      </c>
      <c r="K356">
        <v>77648</v>
      </c>
      <c r="L356">
        <v>73039</v>
      </c>
      <c r="M356">
        <v>393147</v>
      </c>
      <c r="N356">
        <v>107164</v>
      </c>
      <c r="O356">
        <v>205089</v>
      </c>
      <c r="Q356" s="3">
        <f t="shared" ref="Q356:Q373" si="109">(C356-J356)/1000</f>
        <v>25.562999999999999</v>
      </c>
      <c r="R356" s="3">
        <f t="shared" ref="R356:R373" si="110">(D356-K356)/1000</f>
        <v>15.776</v>
      </c>
      <c r="S356" s="3">
        <f t="shared" ref="S356:S373" si="111">(E356-L356)/1000</f>
        <v>36.762999999999998</v>
      </c>
      <c r="T356" s="3">
        <f t="shared" ref="T356:T373" si="112">(G356-N356)/1000</f>
        <v>16.603999999999999</v>
      </c>
      <c r="V356" s="3">
        <f t="shared" ref="V356:V373" si="113">(F356-M356)/1000</f>
        <v>1.9019999999999999</v>
      </c>
      <c r="W356" s="3">
        <f t="shared" ref="W356:W373" si="114">(H356-O356)/1000</f>
        <v>-16.983000000000001</v>
      </c>
      <c r="Y356" s="3">
        <f t="shared" ref="Y356:Y373" si="115">SUM(Q356:T356)</f>
        <v>94.706000000000003</v>
      </c>
      <c r="Z356" s="3">
        <f t="shared" ref="Z356:Z373" si="116">V356+W356</f>
        <v>-15.081000000000001</v>
      </c>
      <c r="AA356" s="3">
        <f t="shared" ref="AA356:AA373" si="117">SUM(Q356:W356)</f>
        <v>79.625</v>
      </c>
      <c r="AC356" s="2" t="str">
        <f t="shared" ref="AC356:AC373" si="118">B356</f>
        <v>2005-08</v>
      </c>
      <c r="AD356" s="9">
        <f t="shared" ref="AD356:AD373" si="119">SUM(Y345:Y356)</f>
        <v>807.76599999999996</v>
      </c>
      <c r="AE356" s="9">
        <f t="shared" ref="AE356:AE373" si="120">SUM(Z345:Z356)</f>
        <v>-62.013000000000005</v>
      </c>
      <c r="AF356" s="9">
        <f t="shared" ref="AF356:AF373" si="121">SUM(AA345:AA356)</f>
        <v>745.75299999999993</v>
      </c>
      <c r="AG356" s="9"/>
      <c r="AH356" s="10">
        <v>38565</v>
      </c>
      <c r="AI356" s="9">
        <f t="shared" ref="AI356:AI373" si="122">SUM(Q345:Q356)</f>
        <v>295.21699999999998</v>
      </c>
      <c r="AJ356" s="9">
        <f t="shared" ref="AJ356:AJ373" si="123">SUM(R345:R356)</f>
        <v>229.70499999999998</v>
      </c>
      <c r="AK356" s="9">
        <f t="shared" ref="AK356:AK373" si="124">SUM(S345:S356)</f>
        <v>349.70499999999998</v>
      </c>
      <c r="AL356" s="9">
        <f t="shared" ref="AL356:AL373" si="125">SUM(T345:T356)</f>
        <v>-66.861000000000004</v>
      </c>
      <c r="AM356" s="12">
        <f t="shared" ref="AM356:AM373" si="126">AF356-AI356</f>
        <v>450.53599999999994</v>
      </c>
    </row>
    <row r="357" spans="1:39" x14ac:dyDescent="0.25">
      <c r="A357">
        <v>99996</v>
      </c>
      <c r="B357" t="s">
        <v>422</v>
      </c>
      <c r="C357" s="14">
        <v>1013739</v>
      </c>
      <c r="D357" s="14">
        <v>96726</v>
      </c>
      <c r="E357" s="14">
        <v>114276</v>
      </c>
      <c r="F357" s="14">
        <v>445019</v>
      </c>
      <c r="G357" s="14">
        <v>122213</v>
      </c>
      <c r="H357" s="14">
        <v>198605</v>
      </c>
      <c r="J357" s="14">
        <v>991540</v>
      </c>
      <c r="K357" s="14">
        <v>77529</v>
      </c>
      <c r="L357" s="14">
        <v>70267</v>
      </c>
      <c r="M357" s="14">
        <v>421986</v>
      </c>
      <c r="N357" s="14">
        <v>140035</v>
      </c>
      <c r="O357" s="14">
        <v>204914</v>
      </c>
      <c r="Q357" s="3">
        <f t="shared" si="109"/>
        <v>22.199000000000002</v>
      </c>
      <c r="R357" s="3">
        <f t="shared" si="110"/>
        <v>19.196999999999999</v>
      </c>
      <c r="S357" s="3">
        <f t="shared" si="111"/>
        <v>44.009</v>
      </c>
      <c r="T357" s="3">
        <f t="shared" si="112"/>
        <v>-17.821999999999999</v>
      </c>
      <c r="V357" s="3">
        <f t="shared" si="113"/>
        <v>23.033000000000001</v>
      </c>
      <c r="W357" s="3">
        <f t="shared" si="114"/>
        <v>-6.3090000000000002</v>
      </c>
      <c r="Y357" s="3">
        <f t="shared" si="115"/>
        <v>67.582999999999998</v>
      </c>
      <c r="Z357" s="3">
        <f t="shared" si="116"/>
        <v>16.724</v>
      </c>
      <c r="AA357" s="3">
        <f t="shared" si="117"/>
        <v>84.307000000000002</v>
      </c>
      <c r="AC357" s="2" t="str">
        <f t="shared" si="118"/>
        <v>2005-09</v>
      </c>
      <c r="AD357" s="9">
        <f t="shared" si="119"/>
        <v>830.23500000000001</v>
      </c>
      <c r="AE357" s="9">
        <f t="shared" si="120"/>
        <v>-37.447999999999993</v>
      </c>
      <c r="AF357" s="9">
        <f t="shared" si="121"/>
        <v>792.78700000000003</v>
      </c>
      <c r="AG357" s="9"/>
      <c r="AH357" s="10">
        <v>38596</v>
      </c>
      <c r="AI357" s="9">
        <f t="shared" si="122"/>
        <v>300.37700000000001</v>
      </c>
      <c r="AJ357" s="9">
        <f t="shared" si="123"/>
        <v>240.476</v>
      </c>
      <c r="AK357" s="9">
        <f t="shared" si="124"/>
        <v>348.65600000000001</v>
      </c>
      <c r="AL357" s="9">
        <f t="shared" si="125"/>
        <v>-59.273999999999987</v>
      </c>
      <c r="AM357" s="12">
        <f t="shared" si="126"/>
        <v>492.41</v>
      </c>
    </row>
    <row r="358" spans="1:39" x14ac:dyDescent="0.25">
      <c r="A358">
        <v>99996</v>
      </c>
      <c r="B358" t="s">
        <v>423</v>
      </c>
      <c r="C358" s="14">
        <v>806733</v>
      </c>
      <c r="D358" s="14">
        <v>112108</v>
      </c>
      <c r="E358" s="14">
        <v>101238</v>
      </c>
      <c r="F358" s="14">
        <v>462722</v>
      </c>
      <c r="G358" s="14">
        <v>148155</v>
      </c>
      <c r="H358" s="14">
        <v>234829</v>
      </c>
      <c r="J358" s="14">
        <v>776569</v>
      </c>
      <c r="K358" s="14">
        <v>79309</v>
      </c>
      <c r="L358" s="14">
        <v>64933</v>
      </c>
      <c r="M358" s="14">
        <v>454339</v>
      </c>
      <c r="N358" s="14">
        <v>145908</v>
      </c>
      <c r="O358" s="14">
        <v>240806</v>
      </c>
      <c r="Q358" s="3">
        <f t="shared" si="109"/>
        <v>30.164000000000001</v>
      </c>
      <c r="R358" s="3">
        <f t="shared" si="110"/>
        <v>32.798999999999999</v>
      </c>
      <c r="S358" s="3">
        <f t="shared" si="111"/>
        <v>36.305</v>
      </c>
      <c r="T358" s="3">
        <f t="shared" si="112"/>
        <v>2.2469999999999999</v>
      </c>
      <c r="V358" s="3">
        <f t="shared" si="113"/>
        <v>8.3829999999999991</v>
      </c>
      <c r="W358" s="3">
        <f t="shared" si="114"/>
        <v>-5.9770000000000003</v>
      </c>
      <c r="Y358" s="3">
        <f t="shared" si="115"/>
        <v>101.515</v>
      </c>
      <c r="Z358" s="3">
        <f t="shared" si="116"/>
        <v>2.4059999999999988</v>
      </c>
      <c r="AA358" s="3">
        <f t="shared" si="117"/>
        <v>103.92099999999999</v>
      </c>
      <c r="AC358" s="2" t="str">
        <f t="shared" si="118"/>
        <v>2005-10</v>
      </c>
      <c r="AD358" s="9">
        <f t="shared" si="119"/>
        <v>876.46299999999997</v>
      </c>
      <c r="AE358" s="9">
        <f t="shared" si="120"/>
        <v>-27.742999999999999</v>
      </c>
      <c r="AF358" s="9">
        <f t="shared" si="121"/>
        <v>848.72</v>
      </c>
      <c r="AG358" s="9"/>
      <c r="AH358" s="10">
        <v>38626</v>
      </c>
      <c r="AI358" s="9">
        <f t="shared" si="122"/>
        <v>311.33799999999997</v>
      </c>
      <c r="AJ358" s="9">
        <f t="shared" si="123"/>
        <v>251.33700000000002</v>
      </c>
      <c r="AK358" s="9">
        <f t="shared" si="124"/>
        <v>365.221</v>
      </c>
      <c r="AL358" s="9">
        <f t="shared" si="125"/>
        <v>-51.432999999999993</v>
      </c>
      <c r="AM358" s="12">
        <f t="shared" si="126"/>
        <v>537.38200000000006</v>
      </c>
    </row>
    <row r="359" spans="1:39" x14ac:dyDescent="0.25">
      <c r="A359">
        <v>99996</v>
      </c>
      <c r="B359" t="s">
        <v>424</v>
      </c>
      <c r="C359" s="14">
        <v>841022</v>
      </c>
      <c r="D359" s="14">
        <v>89895</v>
      </c>
      <c r="E359" s="14">
        <v>111065</v>
      </c>
      <c r="F359" s="14">
        <v>419618</v>
      </c>
      <c r="G359" s="14">
        <v>108319</v>
      </c>
      <c r="H359" s="14">
        <v>237208</v>
      </c>
      <c r="J359" s="14">
        <v>789196</v>
      </c>
      <c r="K359" s="14">
        <v>78789</v>
      </c>
      <c r="L359" s="14">
        <v>72768</v>
      </c>
      <c r="M359" s="14">
        <v>413895</v>
      </c>
      <c r="N359" s="14">
        <v>108656</v>
      </c>
      <c r="O359" s="14">
        <v>254627</v>
      </c>
      <c r="Q359" s="3">
        <f t="shared" si="109"/>
        <v>51.826000000000001</v>
      </c>
      <c r="R359" s="3">
        <f t="shared" si="110"/>
        <v>11.106</v>
      </c>
      <c r="S359" s="3">
        <f t="shared" si="111"/>
        <v>38.296999999999997</v>
      </c>
      <c r="T359" s="3">
        <f t="shared" si="112"/>
        <v>-0.33700000000000002</v>
      </c>
      <c r="V359" s="3">
        <f t="shared" si="113"/>
        <v>5.7229999999999999</v>
      </c>
      <c r="W359" s="3">
        <f t="shared" si="114"/>
        <v>-17.419</v>
      </c>
      <c r="Y359" s="3">
        <f t="shared" si="115"/>
        <v>100.892</v>
      </c>
      <c r="Z359" s="3">
        <f t="shared" si="116"/>
        <v>-11.696000000000002</v>
      </c>
      <c r="AA359" s="3">
        <f t="shared" si="117"/>
        <v>89.195999999999998</v>
      </c>
      <c r="AC359" s="2" t="str">
        <f t="shared" si="118"/>
        <v>2005-11</v>
      </c>
      <c r="AD359" s="9">
        <f t="shared" si="119"/>
        <v>893.64300000000003</v>
      </c>
      <c r="AE359" s="9">
        <f t="shared" si="120"/>
        <v>-45.403999999999996</v>
      </c>
      <c r="AF359" s="9">
        <f t="shared" si="121"/>
        <v>848.23900000000015</v>
      </c>
      <c r="AG359" s="9"/>
      <c r="AH359" s="10">
        <v>38657</v>
      </c>
      <c r="AI359" s="9">
        <f t="shared" si="122"/>
        <v>329.44200000000001</v>
      </c>
      <c r="AJ359" s="9">
        <f t="shared" si="123"/>
        <v>234.64500000000001</v>
      </c>
      <c r="AK359" s="9">
        <f t="shared" si="124"/>
        <v>377.32899999999995</v>
      </c>
      <c r="AL359" s="9">
        <f t="shared" si="125"/>
        <v>-47.772999999999996</v>
      </c>
      <c r="AM359" s="12">
        <f t="shared" si="126"/>
        <v>518.79700000000014</v>
      </c>
    </row>
    <row r="360" spans="1:39" x14ac:dyDescent="0.25">
      <c r="A360">
        <v>99996</v>
      </c>
      <c r="B360" t="s">
        <v>425</v>
      </c>
      <c r="C360" s="14">
        <v>599609</v>
      </c>
      <c r="D360" s="14">
        <v>94276</v>
      </c>
      <c r="E360" s="14">
        <v>107408</v>
      </c>
      <c r="F360" s="14">
        <v>421895</v>
      </c>
      <c r="G360" s="14">
        <v>117158</v>
      </c>
      <c r="H360" s="14">
        <v>230215</v>
      </c>
      <c r="J360" s="14">
        <v>582585</v>
      </c>
      <c r="K360" s="14">
        <v>83058</v>
      </c>
      <c r="L360" s="14">
        <v>71567</v>
      </c>
      <c r="M360" s="14">
        <v>411562</v>
      </c>
      <c r="N360" s="14">
        <v>122773</v>
      </c>
      <c r="O360" s="14">
        <v>246636</v>
      </c>
      <c r="Q360" s="3">
        <f t="shared" si="109"/>
        <v>17.024000000000001</v>
      </c>
      <c r="R360" s="3">
        <f t="shared" si="110"/>
        <v>11.218</v>
      </c>
      <c r="S360" s="3">
        <f t="shared" si="111"/>
        <v>35.841000000000001</v>
      </c>
      <c r="T360" s="3">
        <f t="shared" si="112"/>
        <v>-5.6150000000000002</v>
      </c>
      <c r="V360" s="3">
        <f t="shared" si="113"/>
        <v>10.333</v>
      </c>
      <c r="W360" s="3">
        <f t="shared" si="114"/>
        <v>-16.420999999999999</v>
      </c>
      <c r="Y360" s="3">
        <f t="shared" si="115"/>
        <v>58.467999999999996</v>
      </c>
      <c r="Z360" s="3">
        <f t="shared" si="116"/>
        <v>-6.0879999999999992</v>
      </c>
      <c r="AA360" s="3">
        <f t="shared" si="117"/>
        <v>52.38</v>
      </c>
      <c r="AC360" s="2" t="str">
        <f t="shared" si="118"/>
        <v>2005-12</v>
      </c>
      <c r="AD360" s="9">
        <f t="shared" si="119"/>
        <v>884.495</v>
      </c>
      <c r="AE360" s="9">
        <f t="shared" si="120"/>
        <v>-45.345999999999997</v>
      </c>
      <c r="AF360" s="9">
        <f t="shared" si="121"/>
        <v>839.14900000000011</v>
      </c>
      <c r="AG360" s="9"/>
      <c r="AH360" s="10">
        <v>38687</v>
      </c>
      <c r="AI360" s="9">
        <f t="shared" si="122"/>
        <v>338.11200000000002</v>
      </c>
      <c r="AJ360" s="9">
        <f t="shared" si="123"/>
        <v>219.256</v>
      </c>
      <c r="AK360" s="9">
        <f t="shared" si="124"/>
        <v>372.22199999999998</v>
      </c>
      <c r="AL360" s="9">
        <f t="shared" si="125"/>
        <v>-45.095000000000006</v>
      </c>
      <c r="AM360" s="12">
        <f t="shared" si="126"/>
        <v>501.03700000000009</v>
      </c>
    </row>
    <row r="361" spans="1:39" x14ac:dyDescent="0.25">
      <c r="A361">
        <v>99996</v>
      </c>
      <c r="B361" t="s">
        <v>426</v>
      </c>
      <c r="C361" s="14">
        <v>853528</v>
      </c>
      <c r="D361" s="14">
        <v>125513</v>
      </c>
      <c r="E361" s="14">
        <v>107127</v>
      </c>
      <c r="F361" s="14">
        <v>499945</v>
      </c>
      <c r="G361" s="14">
        <v>143287</v>
      </c>
      <c r="H361" s="14">
        <v>257226</v>
      </c>
      <c r="J361" s="14">
        <v>851814</v>
      </c>
      <c r="K361" s="14">
        <v>96359</v>
      </c>
      <c r="L361" s="14">
        <v>76893</v>
      </c>
      <c r="M361" s="14">
        <v>474716</v>
      </c>
      <c r="N361" s="14">
        <v>147272</v>
      </c>
      <c r="O361" s="14">
        <v>268591</v>
      </c>
      <c r="Q361" s="3">
        <f t="shared" si="109"/>
        <v>1.714</v>
      </c>
      <c r="R361" s="3">
        <f t="shared" si="110"/>
        <v>29.154</v>
      </c>
      <c r="S361" s="3">
        <f t="shared" si="111"/>
        <v>30.234000000000002</v>
      </c>
      <c r="T361" s="3">
        <f t="shared" si="112"/>
        <v>-3.9849999999999999</v>
      </c>
      <c r="V361" s="3">
        <f t="shared" si="113"/>
        <v>25.228999999999999</v>
      </c>
      <c r="W361" s="3">
        <f t="shared" si="114"/>
        <v>-11.365</v>
      </c>
      <c r="Y361" s="3">
        <f t="shared" si="115"/>
        <v>57.117000000000004</v>
      </c>
      <c r="Z361" s="3">
        <f t="shared" si="116"/>
        <v>13.863999999999999</v>
      </c>
      <c r="AA361" s="3">
        <f t="shared" si="117"/>
        <v>70.981000000000009</v>
      </c>
      <c r="AC361" s="2" t="str">
        <f t="shared" si="118"/>
        <v>2006-01</v>
      </c>
      <c r="AD361" s="9">
        <f t="shared" si="119"/>
        <v>866.94499999999982</v>
      </c>
      <c r="AE361" s="9">
        <f t="shared" si="120"/>
        <v>-38.63300000000001</v>
      </c>
      <c r="AF361" s="9">
        <f t="shared" si="121"/>
        <v>828.31200000000013</v>
      </c>
      <c r="AG361" s="9"/>
      <c r="AH361" s="10">
        <v>38718</v>
      </c>
      <c r="AI361" s="9">
        <f t="shared" si="122"/>
        <v>306.87400000000002</v>
      </c>
      <c r="AJ361" s="9">
        <f t="shared" si="123"/>
        <v>223.01499999999999</v>
      </c>
      <c r="AK361" s="9">
        <f t="shared" si="124"/>
        <v>384.42500000000001</v>
      </c>
      <c r="AL361" s="9">
        <f t="shared" si="125"/>
        <v>-47.369000000000007</v>
      </c>
      <c r="AM361" s="12">
        <f t="shared" si="126"/>
        <v>521.4380000000001</v>
      </c>
    </row>
    <row r="362" spans="1:39" x14ac:dyDescent="0.25">
      <c r="A362">
        <v>99996</v>
      </c>
      <c r="B362" t="s">
        <v>427</v>
      </c>
      <c r="C362" s="14">
        <v>868431</v>
      </c>
      <c r="D362" s="14">
        <v>127229</v>
      </c>
      <c r="E362" s="14">
        <v>130713</v>
      </c>
      <c r="F362" s="14">
        <v>494941</v>
      </c>
      <c r="G362" s="14">
        <v>146228</v>
      </c>
      <c r="H362" s="14">
        <v>288872</v>
      </c>
      <c r="J362" s="14">
        <v>849055</v>
      </c>
      <c r="K362" s="14">
        <v>97169</v>
      </c>
      <c r="L362" s="14">
        <v>93024</v>
      </c>
      <c r="M362" s="14">
        <v>477115</v>
      </c>
      <c r="N362" s="14">
        <v>146184</v>
      </c>
      <c r="O362" s="14">
        <v>300453</v>
      </c>
      <c r="Q362" s="3">
        <f t="shared" si="109"/>
        <v>19.376000000000001</v>
      </c>
      <c r="R362" s="3">
        <f t="shared" si="110"/>
        <v>30.06</v>
      </c>
      <c r="S362" s="3">
        <f t="shared" si="111"/>
        <v>37.689</v>
      </c>
      <c r="T362" s="3">
        <f t="shared" si="112"/>
        <v>4.3999999999999997E-2</v>
      </c>
      <c r="V362" s="3">
        <f t="shared" si="113"/>
        <v>17.826000000000001</v>
      </c>
      <c r="W362" s="3">
        <f t="shared" si="114"/>
        <v>-11.581</v>
      </c>
      <c r="Y362" s="3">
        <f t="shared" si="115"/>
        <v>87.168999999999997</v>
      </c>
      <c r="Z362" s="3">
        <f t="shared" si="116"/>
        <v>6.245000000000001</v>
      </c>
      <c r="AA362" s="3">
        <f t="shared" si="117"/>
        <v>93.414000000000001</v>
      </c>
      <c r="AC362" s="2" t="str">
        <f t="shared" si="118"/>
        <v>2006-02</v>
      </c>
      <c r="AD362" s="9">
        <f t="shared" si="119"/>
        <v>864.39799999999991</v>
      </c>
      <c r="AE362" s="9">
        <f t="shared" si="120"/>
        <v>-18.582000000000004</v>
      </c>
      <c r="AF362" s="9">
        <f t="shared" si="121"/>
        <v>845.81600000000003</v>
      </c>
      <c r="AG362" s="9"/>
      <c r="AH362" s="10">
        <v>38749</v>
      </c>
      <c r="AI362" s="9">
        <f t="shared" si="122"/>
        <v>281.70499999999998</v>
      </c>
      <c r="AJ362" s="9">
        <f t="shared" si="123"/>
        <v>238.55899999999997</v>
      </c>
      <c r="AK362" s="9">
        <f t="shared" si="124"/>
        <v>391.07799999999997</v>
      </c>
      <c r="AL362" s="9">
        <f t="shared" si="125"/>
        <v>-46.94400000000001</v>
      </c>
      <c r="AM362" s="12">
        <f t="shared" si="126"/>
        <v>564.1110000000001</v>
      </c>
    </row>
    <row r="363" spans="1:39" x14ac:dyDescent="0.25">
      <c r="A363">
        <v>99996</v>
      </c>
      <c r="B363" t="s">
        <v>428</v>
      </c>
      <c r="C363" s="14">
        <v>976935</v>
      </c>
      <c r="D363" s="14">
        <v>118944</v>
      </c>
      <c r="E363" s="14">
        <v>151117</v>
      </c>
      <c r="F363" s="14">
        <v>577474</v>
      </c>
      <c r="G363" s="14">
        <v>171607</v>
      </c>
      <c r="H363" s="14">
        <v>310438</v>
      </c>
      <c r="J363" s="14">
        <v>968251</v>
      </c>
      <c r="K363" s="14">
        <v>103435</v>
      </c>
      <c r="L363" s="14">
        <v>101848</v>
      </c>
      <c r="M363" s="14">
        <v>554625</v>
      </c>
      <c r="N363" s="14">
        <v>180108</v>
      </c>
      <c r="O363" s="14">
        <v>323207</v>
      </c>
      <c r="Q363" s="3">
        <f t="shared" si="109"/>
        <v>8.6839999999999993</v>
      </c>
      <c r="R363" s="3">
        <f t="shared" si="110"/>
        <v>15.509</v>
      </c>
      <c r="S363" s="3">
        <f t="shared" si="111"/>
        <v>49.268999999999998</v>
      </c>
      <c r="T363" s="3">
        <f t="shared" si="112"/>
        <v>-8.5009999999999994</v>
      </c>
      <c r="V363" s="3">
        <f t="shared" si="113"/>
        <v>22.849</v>
      </c>
      <c r="W363" s="3">
        <f t="shared" si="114"/>
        <v>-12.769</v>
      </c>
      <c r="Y363" s="3">
        <f t="shared" si="115"/>
        <v>64.960999999999984</v>
      </c>
      <c r="Z363" s="3">
        <f t="shared" si="116"/>
        <v>10.08</v>
      </c>
      <c r="AA363" s="3">
        <f t="shared" si="117"/>
        <v>75.040999999999983</v>
      </c>
      <c r="AC363" s="2" t="str">
        <f t="shared" si="118"/>
        <v>2006-03</v>
      </c>
      <c r="AD363" s="9">
        <f t="shared" si="119"/>
        <v>873.56899999999996</v>
      </c>
      <c r="AE363" s="9">
        <f t="shared" si="120"/>
        <v>3.8339999999999961</v>
      </c>
      <c r="AF363" s="9">
        <f t="shared" si="121"/>
        <v>877.40299999999991</v>
      </c>
      <c r="AG363" s="9"/>
      <c r="AH363" s="10">
        <v>38777</v>
      </c>
      <c r="AI363" s="9">
        <f t="shared" si="122"/>
        <v>256.226</v>
      </c>
      <c r="AJ363" s="9">
        <f t="shared" si="123"/>
        <v>246.56399999999996</v>
      </c>
      <c r="AK363" s="9">
        <f t="shared" si="124"/>
        <v>419.529</v>
      </c>
      <c r="AL363" s="9">
        <f t="shared" si="125"/>
        <v>-48.749999999999993</v>
      </c>
      <c r="AM363" s="12">
        <f t="shared" si="126"/>
        <v>621.17699999999991</v>
      </c>
    </row>
    <row r="364" spans="1:39" x14ac:dyDescent="0.25">
      <c r="A364">
        <v>99996</v>
      </c>
      <c r="B364" t="s">
        <v>429</v>
      </c>
      <c r="C364" s="14">
        <v>719529</v>
      </c>
      <c r="D364" s="14">
        <v>129696</v>
      </c>
      <c r="E364" s="14">
        <v>120292</v>
      </c>
      <c r="F364" s="14">
        <v>513772</v>
      </c>
      <c r="G364" s="14">
        <v>132493</v>
      </c>
      <c r="H364" s="14">
        <v>283594</v>
      </c>
      <c r="J364" s="14">
        <v>723037</v>
      </c>
      <c r="K364" s="14">
        <v>111691</v>
      </c>
      <c r="L364" s="14">
        <v>78975</v>
      </c>
      <c r="M364" s="14">
        <v>501388</v>
      </c>
      <c r="N364" s="14">
        <v>140141</v>
      </c>
      <c r="O364" s="14">
        <v>295146</v>
      </c>
      <c r="Q364" s="3">
        <f t="shared" si="109"/>
        <v>-3.508</v>
      </c>
      <c r="R364" s="3">
        <f t="shared" si="110"/>
        <v>18.004999999999999</v>
      </c>
      <c r="S364" s="3">
        <f t="shared" si="111"/>
        <v>41.317</v>
      </c>
      <c r="T364" s="3">
        <f t="shared" si="112"/>
        <v>-7.6479999999999997</v>
      </c>
      <c r="V364" s="3">
        <f t="shared" si="113"/>
        <v>12.384</v>
      </c>
      <c r="W364" s="3">
        <f t="shared" si="114"/>
        <v>-11.552</v>
      </c>
      <c r="Y364" s="3">
        <f t="shared" si="115"/>
        <v>48.165999999999997</v>
      </c>
      <c r="Z364" s="3">
        <f t="shared" si="116"/>
        <v>0.83200000000000074</v>
      </c>
      <c r="AA364" s="3">
        <f t="shared" si="117"/>
        <v>48.997999999999998</v>
      </c>
      <c r="AC364" s="2" t="str">
        <f t="shared" si="118"/>
        <v>2006-04</v>
      </c>
      <c r="AD364" s="9">
        <f t="shared" si="119"/>
        <v>873.42899999999986</v>
      </c>
      <c r="AE364" s="9">
        <f t="shared" si="120"/>
        <v>3.0459999999999994</v>
      </c>
      <c r="AF364" s="9">
        <f t="shared" si="121"/>
        <v>876.47500000000002</v>
      </c>
      <c r="AG364" s="9"/>
      <c r="AH364" s="10">
        <v>38808</v>
      </c>
      <c r="AI364" s="9">
        <f t="shared" si="122"/>
        <v>223.00899999999999</v>
      </c>
      <c r="AJ364" s="9">
        <f t="shared" si="123"/>
        <v>257.59899999999999</v>
      </c>
      <c r="AK364" s="9">
        <f t="shared" si="124"/>
        <v>443.02</v>
      </c>
      <c r="AL364" s="9">
        <f t="shared" si="125"/>
        <v>-50.198999999999998</v>
      </c>
      <c r="AM364" s="12">
        <f t="shared" si="126"/>
        <v>653.46600000000001</v>
      </c>
    </row>
    <row r="365" spans="1:39" x14ac:dyDescent="0.25">
      <c r="A365">
        <v>99996</v>
      </c>
      <c r="B365" t="s">
        <v>430</v>
      </c>
      <c r="C365" s="14">
        <v>1087836</v>
      </c>
      <c r="D365" s="14">
        <v>147871</v>
      </c>
      <c r="E365" s="14">
        <v>147002</v>
      </c>
      <c r="F365" s="14">
        <v>684146</v>
      </c>
      <c r="G365" s="14">
        <v>179603</v>
      </c>
      <c r="H365" s="14">
        <v>389444</v>
      </c>
      <c r="J365" s="14">
        <v>1072483</v>
      </c>
      <c r="K365" s="14">
        <v>111894</v>
      </c>
      <c r="L365" s="14">
        <v>104696</v>
      </c>
      <c r="M365" s="14">
        <v>670129</v>
      </c>
      <c r="N365" s="14">
        <v>198371</v>
      </c>
      <c r="O365" s="14">
        <v>397379</v>
      </c>
      <c r="Q365" s="3">
        <f t="shared" si="109"/>
        <v>15.353</v>
      </c>
      <c r="R365" s="3">
        <f t="shared" si="110"/>
        <v>35.976999999999997</v>
      </c>
      <c r="S365" s="3">
        <f t="shared" si="111"/>
        <v>42.305999999999997</v>
      </c>
      <c r="T365" s="3">
        <f t="shared" si="112"/>
        <v>-18.768000000000001</v>
      </c>
      <c r="V365" s="3">
        <f t="shared" si="113"/>
        <v>14.016999999999999</v>
      </c>
      <c r="W365" s="3">
        <f t="shared" si="114"/>
        <v>-7.9349999999999996</v>
      </c>
      <c r="Y365" s="3">
        <f t="shared" si="115"/>
        <v>74.867999999999995</v>
      </c>
      <c r="Z365" s="3">
        <f t="shared" si="116"/>
        <v>6.0819999999999999</v>
      </c>
      <c r="AA365" s="3">
        <f t="shared" si="117"/>
        <v>80.949999999999989</v>
      </c>
      <c r="AC365" s="2" t="str">
        <f t="shared" si="118"/>
        <v>2006-05</v>
      </c>
      <c r="AD365" s="9">
        <f t="shared" si="119"/>
        <v>917.08899999999971</v>
      </c>
      <c r="AE365" s="9">
        <f t="shared" si="120"/>
        <v>13.478000000000002</v>
      </c>
      <c r="AF365" s="9">
        <f t="shared" si="121"/>
        <v>930.56700000000001</v>
      </c>
      <c r="AG365" s="9"/>
      <c r="AH365" s="10">
        <v>38838</v>
      </c>
      <c r="AI365" s="9">
        <f t="shared" si="122"/>
        <v>236.739</v>
      </c>
      <c r="AJ365" s="9">
        <f t="shared" si="123"/>
        <v>272.13199999999995</v>
      </c>
      <c r="AK365" s="9">
        <f t="shared" si="124"/>
        <v>465.916</v>
      </c>
      <c r="AL365" s="9">
        <f t="shared" si="125"/>
        <v>-57.697999999999993</v>
      </c>
      <c r="AM365" s="12">
        <f t="shared" si="126"/>
        <v>693.82799999999997</v>
      </c>
    </row>
    <row r="366" spans="1:39" x14ac:dyDescent="0.25">
      <c r="A366">
        <v>99996</v>
      </c>
      <c r="B366" t="s">
        <v>431</v>
      </c>
      <c r="C366" s="14">
        <v>911728</v>
      </c>
      <c r="D366" s="14">
        <v>125717</v>
      </c>
      <c r="E366" s="14">
        <v>136108</v>
      </c>
      <c r="F366" s="14">
        <v>617298</v>
      </c>
      <c r="G366" s="14">
        <v>144141</v>
      </c>
      <c r="H366" s="14">
        <v>314605</v>
      </c>
      <c r="J366" s="14">
        <v>882984</v>
      </c>
      <c r="K366" s="14">
        <v>102711</v>
      </c>
      <c r="L366" s="14">
        <v>94400</v>
      </c>
      <c r="M366" s="14">
        <v>618924</v>
      </c>
      <c r="N366" s="14">
        <v>155169</v>
      </c>
      <c r="O366" s="14">
        <v>311888</v>
      </c>
      <c r="Q366" s="3">
        <f t="shared" si="109"/>
        <v>28.744</v>
      </c>
      <c r="R366" s="3">
        <f t="shared" si="110"/>
        <v>23.006</v>
      </c>
      <c r="S366" s="3">
        <f t="shared" si="111"/>
        <v>41.707999999999998</v>
      </c>
      <c r="T366" s="3">
        <f t="shared" si="112"/>
        <v>-11.028</v>
      </c>
      <c r="V366" s="3">
        <f t="shared" si="113"/>
        <v>-1.6259999999999999</v>
      </c>
      <c r="W366" s="3">
        <f t="shared" si="114"/>
        <v>2.7170000000000001</v>
      </c>
      <c r="Y366" s="3">
        <f t="shared" si="115"/>
        <v>82.429999999999993</v>
      </c>
      <c r="Z366" s="3">
        <f t="shared" si="116"/>
        <v>1.0910000000000002</v>
      </c>
      <c r="AA366" s="3">
        <f t="shared" si="117"/>
        <v>83.520999999999987</v>
      </c>
      <c r="AC366" s="2" t="str">
        <f t="shared" si="118"/>
        <v>2006-06</v>
      </c>
      <c r="AD366" s="9">
        <f t="shared" si="119"/>
        <v>915.74599999999998</v>
      </c>
      <c r="AE366" s="9">
        <f t="shared" si="120"/>
        <v>23.369</v>
      </c>
      <c r="AF366" s="9">
        <f t="shared" si="121"/>
        <v>939.11500000000001</v>
      </c>
      <c r="AG366" s="9"/>
      <c r="AH366" s="10">
        <v>38869</v>
      </c>
      <c r="AI366" s="9">
        <f t="shared" si="122"/>
        <v>245.81</v>
      </c>
      <c r="AJ366" s="9">
        <f t="shared" si="123"/>
        <v>276.495</v>
      </c>
      <c r="AK366" s="9">
        <f t="shared" si="124"/>
        <v>457.12900000000002</v>
      </c>
      <c r="AL366" s="9">
        <f t="shared" si="125"/>
        <v>-63.687999999999995</v>
      </c>
      <c r="AM366" s="12">
        <f t="shared" si="126"/>
        <v>693.30500000000006</v>
      </c>
    </row>
    <row r="367" spans="1:39" x14ac:dyDescent="0.25">
      <c r="A367">
        <v>99996</v>
      </c>
      <c r="B367" t="s">
        <v>432</v>
      </c>
      <c r="C367" s="14">
        <v>815413</v>
      </c>
      <c r="D367" s="14">
        <v>123739</v>
      </c>
      <c r="E367" s="14">
        <v>96672</v>
      </c>
      <c r="F367" s="14">
        <v>536046</v>
      </c>
      <c r="G367" s="14">
        <v>124756</v>
      </c>
      <c r="H367" s="14">
        <v>256382</v>
      </c>
      <c r="J367" s="14">
        <v>804531</v>
      </c>
      <c r="K367" s="14">
        <v>104923</v>
      </c>
      <c r="L367" s="14">
        <v>76465</v>
      </c>
      <c r="M367" s="14">
        <v>521751</v>
      </c>
      <c r="N367" s="14">
        <v>142257</v>
      </c>
      <c r="O367" s="14">
        <v>258930</v>
      </c>
      <c r="Q367" s="3">
        <f t="shared" si="109"/>
        <v>10.882</v>
      </c>
      <c r="R367" s="3">
        <f t="shared" si="110"/>
        <v>18.815999999999999</v>
      </c>
      <c r="S367" s="3">
        <f t="shared" si="111"/>
        <v>20.207000000000001</v>
      </c>
      <c r="T367" s="3">
        <f t="shared" si="112"/>
        <v>-17.501000000000001</v>
      </c>
      <c r="V367" s="3">
        <f t="shared" si="113"/>
        <v>14.295</v>
      </c>
      <c r="W367" s="3">
        <f t="shared" si="114"/>
        <v>-2.548</v>
      </c>
      <c r="Y367" s="3">
        <f t="shared" si="115"/>
        <v>32.403999999999996</v>
      </c>
      <c r="Z367" s="3">
        <f t="shared" si="116"/>
        <v>11.747</v>
      </c>
      <c r="AA367" s="3">
        <f t="shared" si="117"/>
        <v>44.150999999999996</v>
      </c>
      <c r="AC367" s="2" t="str">
        <f t="shared" si="118"/>
        <v>2006-07</v>
      </c>
      <c r="AD367" s="9">
        <f t="shared" si="119"/>
        <v>870.27899999999988</v>
      </c>
      <c r="AE367" s="9">
        <f t="shared" si="120"/>
        <v>36.206000000000003</v>
      </c>
      <c r="AF367" s="9">
        <f t="shared" si="121"/>
        <v>906.48499999999979</v>
      </c>
      <c r="AG367" s="9"/>
      <c r="AH367" s="10">
        <v>38899</v>
      </c>
      <c r="AI367" s="9">
        <f t="shared" si="122"/>
        <v>228.02100000000002</v>
      </c>
      <c r="AJ367" s="9">
        <f t="shared" si="123"/>
        <v>260.62299999999993</v>
      </c>
      <c r="AK367" s="9">
        <f t="shared" si="124"/>
        <v>453.94500000000005</v>
      </c>
      <c r="AL367" s="9">
        <f t="shared" si="125"/>
        <v>-72.31</v>
      </c>
      <c r="AM367" s="12">
        <f t="shared" si="126"/>
        <v>678.46399999999971</v>
      </c>
    </row>
    <row r="368" spans="1:39" x14ac:dyDescent="0.25">
      <c r="A368">
        <v>99996</v>
      </c>
      <c r="B368" t="s">
        <v>433</v>
      </c>
      <c r="C368" s="14">
        <v>908506</v>
      </c>
      <c r="D368" s="14">
        <v>127232</v>
      </c>
      <c r="E368" s="14">
        <v>135723</v>
      </c>
      <c r="F368" s="14">
        <v>578255</v>
      </c>
      <c r="G368" s="14">
        <v>140237</v>
      </c>
      <c r="H368" s="14">
        <v>279510</v>
      </c>
      <c r="J368" s="14">
        <v>865600</v>
      </c>
      <c r="K368" s="14">
        <v>94047</v>
      </c>
      <c r="L368" s="14">
        <v>90698</v>
      </c>
      <c r="M368" s="14">
        <v>570171</v>
      </c>
      <c r="N368" s="14">
        <v>150391</v>
      </c>
      <c r="O368" s="14">
        <v>273281</v>
      </c>
      <c r="Q368" s="3">
        <f t="shared" si="109"/>
        <v>42.905999999999999</v>
      </c>
      <c r="R368" s="3">
        <f t="shared" si="110"/>
        <v>33.185000000000002</v>
      </c>
      <c r="S368" s="3">
        <f t="shared" si="111"/>
        <v>45.024999999999999</v>
      </c>
      <c r="T368" s="3">
        <f t="shared" si="112"/>
        <v>-10.154</v>
      </c>
      <c r="V368" s="3">
        <f t="shared" si="113"/>
        <v>8.0839999999999996</v>
      </c>
      <c r="W368" s="3">
        <f t="shared" si="114"/>
        <v>6.2290000000000001</v>
      </c>
      <c r="Y368" s="3">
        <f t="shared" si="115"/>
        <v>110.96200000000002</v>
      </c>
      <c r="Z368" s="3">
        <f t="shared" si="116"/>
        <v>14.312999999999999</v>
      </c>
      <c r="AA368" s="3">
        <f t="shared" si="117"/>
        <v>125.27500000000002</v>
      </c>
      <c r="AC368" s="2" t="str">
        <f t="shared" si="118"/>
        <v>2006-08</v>
      </c>
      <c r="AD368" s="9">
        <f t="shared" si="119"/>
        <v>886.53499999999997</v>
      </c>
      <c r="AE368" s="9">
        <f t="shared" si="120"/>
        <v>65.599999999999994</v>
      </c>
      <c r="AF368" s="9">
        <f t="shared" si="121"/>
        <v>952.13499999999976</v>
      </c>
      <c r="AG368" s="9"/>
      <c r="AH368" s="10">
        <v>38930</v>
      </c>
      <c r="AI368" s="9">
        <f t="shared" si="122"/>
        <v>245.364</v>
      </c>
      <c r="AJ368" s="9">
        <f t="shared" si="123"/>
        <v>278.03200000000004</v>
      </c>
      <c r="AK368" s="9">
        <f t="shared" si="124"/>
        <v>462.20699999999999</v>
      </c>
      <c r="AL368" s="9">
        <f t="shared" si="125"/>
        <v>-99.068000000000012</v>
      </c>
      <c r="AM368" s="12">
        <f t="shared" si="126"/>
        <v>706.77099999999973</v>
      </c>
    </row>
    <row r="369" spans="1:39" x14ac:dyDescent="0.25">
      <c r="A369">
        <v>99996</v>
      </c>
      <c r="B369" t="s">
        <v>434</v>
      </c>
      <c r="C369" s="14">
        <v>907546</v>
      </c>
      <c r="D369" s="14">
        <v>123862</v>
      </c>
      <c r="E369" s="14">
        <v>162018</v>
      </c>
      <c r="F369" s="14">
        <v>557610</v>
      </c>
      <c r="G369" s="14">
        <v>146233</v>
      </c>
      <c r="H369" s="14">
        <v>271458</v>
      </c>
      <c r="J369" s="14">
        <v>905253</v>
      </c>
      <c r="K369" s="14">
        <v>98410</v>
      </c>
      <c r="L369" s="14">
        <v>99029</v>
      </c>
      <c r="M369" s="14">
        <v>542908</v>
      </c>
      <c r="N369" s="14">
        <v>161386</v>
      </c>
      <c r="O369" s="14">
        <v>280036</v>
      </c>
      <c r="Q369" s="3">
        <f t="shared" si="109"/>
        <v>2.2930000000000001</v>
      </c>
      <c r="R369" s="3">
        <f t="shared" si="110"/>
        <v>25.452000000000002</v>
      </c>
      <c r="S369" s="3">
        <f t="shared" si="111"/>
        <v>62.988999999999997</v>
      </c>
      <c r="T369" s="3">
        <f t="shared" si="112"/>
        <v>-15.153</v>
      </c>
      <c r="V369" s="3">
        <f t="shared" si="113"/>
        <v>14.702</v>
      </c>
      <c r="W369" s="3">
        <f t="shared" si="114"/>
        <v>-8.5779999999999994</v>
      </c>
      <c r="Y369" s="3">
        <f t="shared" si="115"/>
        <v>75.580999999999989</v>
      </c>
      <c r="Z369" s="3">
        <f t="shared" si="116"/>
        <v>6.1240000000000006</v>
      </c>
      <c r="AA369" s="3">
        <f t="shared" si="117"/>
        <v>81.704999999999984</v>
      </c>
      <c r="AC369" s="2" t="str">
        <f t="shared" si="118"/>
        <v>2006-09</v>
      </c>
      <c r="AD369" s="9">
        <f t="shared" si="119"/>
        <v>894.5329999999999</v>
      </c>
      <c r="AE369" s="9">
        <f t="shared" si="120"/>
        <v>55.000000000000007</v>
      </c>
      <c r="AF369" s="9">
        <f t="shared" si="121"/>
        <v>949.5329999999999</v>
      </c>
      <c r="AG369" s="9"/>
      <c r="AH369" s="10">
        <v>38961</v>
      </c>
      <c r="AI369" s="9">
        <f t="shared" si="122"/>
        <v>225.45800000000003</v>
      </c>
      <c r="AJ369" s="9">
        <f t="shared" si="123"/>
        <v>284.28700000000003</v>
      </c>
      <c r="AK369" s="9">
        <f t="shared" si="124"/>
        <v>481.18699999999995</v>
      </c>
      <c r="AL369" s="9">
        <f t="shared" si="125"/>
        <v>-96.399000000000001</v>
      </c>
      <c r="AM369" s="12">
        <f t="shared" si="126"/>
        <v>724.07499999999982</v>
      </c>
    </row>
    <row r="370" spans="1:39" x14ac:dyDescent="0.25">
      <c r="A370">
        <v>99996</v>
      </c>
      <c r="B370" t="s">
        <v>435</v>
      </c>
      <c r="C370" s="14">
        <v>956490</v>
      </c>
      <c r="D370" s="14">
        <v>127613</v>
      </c>
      <c r="E370" s="14">
        <v>148282</v>
      </c>
      <c r="F370" s="14">
        <v>637372</v>
      </c>
      <c r="G370" s="14">
        <v>162165</v>
      </c>
      <c r="H370" s="14">
        <v>336651</v>
      </c>
      <c r="J370" s="14">
        <v>931133</v>
      </c>
      <c r="K370" s="14">
        <v>113845</v>
      </c>
      <c r="L370" s="14">
        <v>108382</v>
      </c>
      <c r="M370" s="14">
        <v>610269</v>
      </c>
      <c r="N370" s="14">
        <v>171171</v>
      </c>
      <c r="O370" s="14">
        <v>344473</v>
      </c>
      <c r="Q370" s="3">
        <f t="shared" si="109"/>
        <v>25.356999999999999</v>
      </c>
      <c r="R370" s="3">
        <f t="shared" si="110"/>
        <v>13.768000000000001</v>
      </c>
      <c r="S370" s="3">
        <f t="shared" si="111"/>
        <v>39.9</v>
      </c>
      <c r="T370" s="3">
        <f t="shared" si="112"/>
        <v>-9.0060000000000002</v>
      </c>
      <c r="V370" s="3">
        <f t="shared" si="113"/>
        <v>27.103000000000002</v>
      </c>
      <c r="W370" s="3">
        <f t="shared" si="114"/>
        <v>-7.8220000000000001</v>
      </c>
      <c r="Y370" s="3">
        <f t="shared" si="115"/>
        <v>70.019000000000005</v>
      </c>
      <c r="Z370" s="3">
        <f t="shared" si="116"/>
        <v>19.281000000000002</v>
      </c>
      <c r="AA370" s="3">
        <f t="shared" si="117"/>
        <v>89.300000000000011</v>
      </c>
      <c r="AC370" s="2" t="str">
        <f t="shared" si="118"/>
        <v>2006-10</v>
      </c>
      <c r="AD370" s="9">
        <f t="shared" si="119"/>
        <v>863.03699999999992</v>
      </c>
      <c r="AE370" s="9">
        <f t="shared" si="120"/>
        <v>71.875</v>
      </c>
      <c r="AF370" s="9">
        <f t="shared" si="121"/>
        <v>934.91199999999981</v>
      </c>
      <c r="AG370" s="9"/>
      <c r="AH370" s="10">
        <v>38991</v>
      </c>
      <c r="AI370" s="9">
        <f t="shared" si="122"/>
        <v>220.65100000000001</v>
      </c>
      <c r="AJ370" s="9">
        <f t="shared" si="123"/>
        <v>265.25599999999997</v>
      </c>
      <c r="AK370" s="9">
        <f t="shared" si="124"/>
        <v>484.78199999999998</v>
      </c>
      <c r="AL370" s="9">
        <f t="shared" si="125"/>
        <v>-107.652</v>
      </c>
      <c r="AM370" s="12">
        <f t="shared" si="126"/>
        <v>714.26099999999974</v>
      </c>
    </row>
    <row r="371" spans="1:39" x14ac:dyDescent="0.25">
      <c r="A371">
        <v>99996</v>
      </c>
      <c r="B371" t="s">
        <v>436</v>
      </c>
      <c r="C371" s="14">
        <v>998940</v>
      </c>
      <c r="D371" s="14">
        <v>140618</v>
      </c>
      <c r="E371" s="14">
        <v>175385</v>
      </c>
      <c r="F371" s="14">
        <v>603507</v>
      </c>
      <c r="G371" s="14">
        <v>193973</v>
      </c>
      <c r="H371" s="14">
        <v>332232</v>
      </c>
      <c r="J371" s="14">
        <v>965579</v>
      </c>
      <c r="K371" s="14">
        <v>124892</v>
      </c>
      <c r="L371" s="14">
        <v>111589</v>
      </c>
      <c r="M371" s="14">
        <v>596404</v>
      </c>
      <c r="N371" s="14">
        <v>205159</v>
      </c>
      <c r="O371" s="14">
        <v>353891</v>
      </c>
      <c r="Q371" s="3">
        <f t="shared" si="109"/>
        <v>33.360999999999997</v>
      </c>
      <c r="R371" s="3">
        <f t="shared" si="110"/>
        <v>15.726000000000001</v>
      </c>
      <c r="S371" s="3">
        <f t="shared" si="111"/>
        <v>63.795999999999999</v>
      </c>
      <c r="T371" s="3">
        <f t="shared" si="112"/>
        <v>-11.186</v>
      </c>
      <c r="V371" s="3">
        <f t="shared" si="113"/>
        <v>7.1029999999999998</v>
      </c>
      <c r="W371" s="3">
        <f t="shared" si="114"/>
        <v>-21.658999999999999</v>
      </c>
      <c r="Y371" s="3">
        <f t="shared" si="115"/>
        <v>101.697</v>
      </c>
      <c r="Z371" s="3">
        <f t="shared" si="116"/>
        <v>-14.555999999999999</v>
      </c>
      <c r="AA371" s="3">
        <f t="shared" si="117"/>
        <v>87.140999999999991</v>
      </c>
      <c r="AC371" s="2" t="str">
        <f t="shared" si="118"/>
        <v>2006-11</v>
      </c>
      <c r="AD371" s="9">
        <f t="shared" si="119"/>
        <v>863.8420000000001</v>
      </c>
      <c r="AE371" s="9">
        <f t="shared" si="120"/>
        <v>69.015000000000001</v>
      </c>
      <c r="AF371" s="9">
        <f t="shared" si="121"/>
        <v>932.85699999999986</v>
      </c>
      <c r="AG371" s="9"/>
      <c r="AH371" s="10">
        <v>39022</v>
      </c>
      <c r="AI371" s="9">
        <f t="shared" si="122"/>
        <v>202.18600000000001</v>
      </c>
      <c r="AJ371" s="9">
        <f t="shared" si="123"/>
        <v>269.87600000000003</v>
      </c>
      <c r="AK371" s="9">
        <f t="shared" si="124"/>
        <v>510.28099999999995</v>
      </c>
      <c r="AL371" s="9">
        <f t="shared" si="125"/>
        <v>-118.501</v>
      </c>
      <c r="AM371" s="12">
        <f t="shared" si="126"/>
        <v>730.67099999999982</v>
      </c>
    </row>
    <row r="372" spans="1:39" x14ac:dyDescent="0.25">
      <c r="A372">
        <v>99996</v>
      </c>
      <c r="B372" t="s">
        <v>437</v>
      </c>
      <c r="C372" s="14">
        <v>953054</v>
      </c>
      <c r="D372" s="14">
        <v>154126</v>
      </c>
      <c r="E372" s="14">
        <v>168025</v>
      </c>
      <c r="F372" s="14">
        <v>568205</v>
      </c>
      <c r="G372" s="14">
        <v>194990</v>
      </c>
      <c r="H372" s="14">
        <v>315773</v>
      </c>
      <c r="J372" s="14">
        <v>942680</v>
      </c>
      <c r="K372" s="14">
        <v>126320</v>
      </c>
      <c r="L372" s="14">
        <v>131659</v>
      </c>
      <c r="M372" s="14">
        <v>579756</v>
      </c>
      <c r="N372" s="14">
        <v>226556</v>
      </c>
      <c r="O372" s="14">
        <v>335365</v>
      </c>
      <c r="Q372" s="3">
        <f t="shared" si="109"/>
        <v>10.374000000000001</v>
      </c>
      <c r="R372" s="3">
        <f t="shared" si="110"/>
        <v>27.806000000000001</v>
      </c>
      <c r="S372" s="3">
        <f t="shared" si="111"/>
        <v>36.366</v>
      </c>
      <c r="T372" s="3">
        <f t="shared" si="112"/>
        <v>-31.565999999999999</v>
      </c>
      <c r="V372" s="3">
        <f t="shared" si="113"/>
        <v>-11.551</v>
      </c>
      <c r="W372" s="3">
        <f t="shared" si="114"/>
        <v>-19.591999999999999</v>
      </c>
      <c r="Y372" s="3">
        <f t="shared" si="115"/>
        <v>42.97999999999999</v>
      </c>
      <c r="Z372" s="3">
        <f t="shared" si="116"/>
        <v>-31.143000000000001</v>
      </c>
      <c r="AA372" s="3">
        <f t="shared" si="117"/>
        <v>11.836999999999989</v>
      </c>
      <c r="AC372" s="2" t="str">
        <f t="shared" si="118"/>
        <v>2006-12</v>
      </c>
      <c r="AD372" s="9">
        <f t="shared" si="119"/>
        <v>848.35400000000004</v>
      </c>
      <c r="AE372" s="9">
        <f t="shared" si="120"/>
        <v>43.960000000000008</v>
      </c>
      <c r="AF372" s="9">
        <f t="shared" si="121"/>
        <v>892.31399999999996</v>
      </c>
      <c r="AG372" s="9"/>
      <c r="AH372" s="10">
        <v>39052</v>
      </c>
      <c r="AI372" s="9">
        <f t="shared" si="122"/>
        <v>195.536</v>
      </c>
      <c r="AJ372" s="9">
        <f t="shared" si="123"/>
        <v>286.464</v>
      </c>
      <c r="AK372" s="9">
        <f t="shared" si="124"/>
        <v>510.80599999999993</v>
      </c>
      <c r="AL372" s="9">
        <f t="shared" si="125"/>
        <v>-144.452</v>
      </c>
      <c r="AM372" s="12">
        <f t="shared" si="126"/>
        <v>696.77800000000002</v>
      </c>
    </row>
    <row r="373" spans="1:39" x14ac:dyDescent="0.25">
      <c r="A373">
        <v>99996</v>
      </c>
      <c r="B373" t="s">
        <v>438</v>
      </c>
      <c r="C373" s="14">
        <v>882067</v>
      </c>
      <c r="D373" s="14">
        <v>158797</v>
      </c>
      <c r="E373" s="14">
        <v>162716</v>
      </c>
      <c r="F373" s="14">
        <v>630011</v>
      </c>
      <c r="G373" s="14">
        <v>218211</v>
      </c>
      <c r="H373" s="14">
        <v>330583</v>
      </c>
      <c r="J373" s="14">
        <v>865919</v>
      </c>
      <c r="K373" s="14">
        <v>122544</v>
      </c>
      <c r="L373" s="14">
        <v>113162</v>
      </c>
      <c r="M373" s="14">
        <v>607638</v>
      </c>
      <c r="N373" s="14">
        <v>218735</v>
      </c>
      <c r="O373" s="14">
        <v>343028</v>
      </c>
      <c r="Q373" s="3">
        <f t="shared" si="109"/>
        <v>16.148</v>
      </c>
      <c r="R373" s="3">
        <f t="shared" si="110"/>
        <v>36.253</v>
      </c>
      <c r="S373" s="3">
        <f t="shared" si="111"/>
        <v>49.554000000000002</v>
      </c>
      <c r="T373" s="3">
        <f t="shared" si="112"/>
        <v>-0.52400000000000002</v>
      </c>
      <c r="V373" s="3">
        <f t="shared" si="113"/>
        <v>22.373000000000001</v>
      </c>
      <c r="W373" s="3">
        <f t="shared" si="114"/>
        <v>-12.445</v>
      </c>
      <c r="Y373" s="3">
        <f t="shared" si="115"/>
        <v>101.431</v>
      </c>
      <c r="Z373" s="3">
        <f t="shared" si="116"/>
        <v>9.9280000000000008</v>
      </c>
      <c r="AA373" s="3">
        <f t="shared" si="117"/>
        <v>111.35900000000001</v>
      </c>
      <c r="AC373" s="2" t="str">
        <f t="shared" si="118"/>
        <v>2007-01</v>
      </c>
      <c r="AD373" s="9">
        <f t="shared" si="119"/>
        <v>892.66800000000012</v>
      </c>
      <c r="AE373" s="9">
        <f t="shared" si="120"/>
        <v>40.024000000000001</v>
      </c>
      <c r="AF373" s="9">
        <f t="shared" si="121"/>
        <v>932.69200000000001</v>
      </c>
      <c r="AG373" s="9"/>
      <c r="AH373" s="10">
        <v>39083</v>
      </c>
      <c r="AI373" s="9">
        <f t="shared" si="122"/>
        <v>209.97</v>
      </c>
      <c r="AJ373" s="9">
        <f t="shared" si="123"/>
        <v>293.56299999999999</v>
      </c>
      <c r="AK373" s="9">
        <f t="shared" si="124"/>
        <v>530.12599999999998</v>
      </c>
      <c r="AL373" s="9">
        <f t="shared" si="125"/>
        <v>-140.99100000000001</v>
      </c>
      <c r="AM373" s="12">
        <f t="shared" si="126"/>
        <v>722.72199999999998</v>
      </c>
    </row>
    <row r="374" spans="1:39" x14ac:dyDescent="0.25">
      <c r="A374">
        <v>99996</v>
      </c>
      <c r="B374" t="s">
        <v>439</v>
      </c>
      <c r="C374" s="14">
        <v>1112067</v>
      </c>
      <c r="D374" s="14">
        <v>142900</v>
      </c>
      <c r="E374" s="14">
        <v>162526</v>
      </c>
      <c r="F374" s="14">
        <v>630077</v>
      </c>
      <c r="G374" s="14">
        <v>232843</v>
      </c>
      <c r="H374" s="14">
        <v>354806</v>
      </c>
      <c r="J374" s="14">
        <v>1094368</v>
      </c>
      <c r="K374" s="14">
        <v>137677</v>
      </c>
      <c r="L374" s="14">
        <v>112834</v>
      </c>
      <c r="M374" s="14">
        <v>617593</v>
      </c>
      <c r="N374" s="14">
        <v>236978</v>
      </c>
      <c r="O374" s="14">
        <v>369264</v>
      </c>
      <c r="Q374" s="3">
        <f t="shared" ref="Q374:Q384" si="127">(C374-J374)/1000</f>
        <v>17.699000000000002</v>
      </c>
      <c r="R374" s="3">
        <f t="shared" ref="R374:R384" si="128">(D374-K374)/1000</f>
        <v>5.2229999999999999</v>
      </c>
      <c r="S374" s="3">
        <f t="shared" ref="S374:S384" si="129">(E374-L374)/1000</f>
        <v>49.692</v>
      </c>
      <c r="T374" s="3">
        <f t="shared" ref="T374:T384" si="130">(G374-N374)/1000</f>
        <v>-4.1349999999999998</v>
      </c>
      <c r="V374" s="3">
        <f t="shared" ref="V374:V384" si="131">(F374-M374)/1000</f>
        <v>12.484</v>
      </c>
      <c r="W374" s="3">
        <f t="shared" ref="W374:W384" si="132">(H374-O374)/1000</f>
        <v>-14.458</v>
      </c>
      <c r="Y374" s="3">
        <f t="shared" ref="Y374:Y384" si="133">SUM(Q374:T374)</f>
        <v>68.478999999999999</v>
      </c>
      <c r="Z374" s="3">
        <f t="shared" ref="Z374:Z384" si="134">V374+W374</f>
        <v>-1.9740000000000002</v>
      </c>
      <c r="AA374" s="3">
        <f t="shared" ref="AA374:AA384" si="135">SUM(Q374:W374)</f>
        <v>66.504999999999995</v>
      </c>
      <c r="AC374" s="2" t="str">
        <f t="shared" ref="AC374:AC384" si="136">B374</f>
        <v>2007-02</v>
      </c>
      <c r="AD374" s="9">
        <f t="shared" ref="AD374:AD384" si="137">SUM(Y363:Y374)</f>
        <v>873.97800000000007</v>
      </c>
      <c r="AE374" s="9">
        <f t="shared" ref="AE374:AE384" si="138">SUM(Z363:Z374)</f>
        <v>31.804999999999996</v>
      </c>
      <c r="AF374" s="9">
        <f t="shared" ref="AF374:AF384" si="139">SUM(AA363:AA374)</f>
        <v>905.78300000000002</v>
      </c>
      <c r="AG374" s="9"/>
      <c r="AH374" s="10">
        <v>39114</v>
      </c>
      <c r="AI374" s="9">
        <f t="shared" ref="AI374:AI384" si="140">SUM(Q363:Q374)</f>
        <v>208.29300000000001</v>
      </c>
      <c r="AJ374" s="9">
        <f t="shared" ref="AJ374:AJ384" si="141">SUM(R363:R374)</f>
        <v>268.726</v>
      </c>
      <c r="AK374" s="9">
        <f t="shared" ref="AK374:AK384" si="142">SUM(S363:S374)</f>
        <v>542.12899999999991</v>
      </c>
      <c r="AL374" s="9">
        <f t="shared" ref="AL374:AL384" si="143">SUM(T363:T374)</f>
        <v>-145.16999999999999</v>
      </c>
      <c r="AM374" s="12">
        <f t="shared" ref="AM374:AM384" si="144">AF374-AI374</f>
        <v>697.49</v>
      </c>
    </row>
    <row r="375" spans="1:39" x14ac:dyDescent="0.25">
      <c r="A375">
        <v>99996</v>
      </c>
      <c r="B375" t="s">
        <v>440</v>
      </c>
      <c r="C375" s="14">
        <v>1490732</v>
      </c>
      <c r="D375" s="14">
        <v>159064</v>
      </c>
      <c r="E375" s="14">
        <v>188997</v>
      </c>
      <c r="F375" s="14">
        <v>880537</v>
      </c>
      <c r="G375" s="14">
        <v>275682</v>
      </c>
      <c r="H375" s="14">
        <v>421498</v>
      </c>
      <c r="J375" s="14">
        <v>1459631</v>
      </c>
      <c r="K375" s="14">
        <v>143916</v>
      </c>
      <c r="L375" s="14">
        <v>142838</v>
      </c>
      <c r="M375" s="14">
        <v>871052</v>
      </c>
      <c r="N375" s="14">
        <v>308396</v>
      </c>
      <c r="O375" s="14">
        <v>431537</v>
      </c>
      <c r="Q375" s="3">
        <f t="shared" si="127"/>
        <v>31.100999999999999</v>
      </c>
      <c r="R375" s="3">
        <f t="shared" si="128"/>
        <v>15.148</v>
      </c>
      <c r="S375" s="3">
        <f t="shared" si="129"/>
        <v>46.158999999999999</v>
      </c>
      <c r="T375" s="3">
        <f t="shared" si="130"/>
        <v>-32.713999999999999</v>
      </c>
      <c r="V375" s="3">
        <f t="shared" si="131"/>
        <v>9.4849999999999994</v>
      </c>
      <c r="W375" s="3">
        <f t="shared" si="132"/>
        <v>-10.039</v>
      </c>
      <c r="Y375" s="3">
        <f t="shared" si="133"/>
        <v>59.693999999999988</v>
      </c>
      <c r="Z375" s="3">
        <f t="shared" si="134"/>
        <v>-0.55400000000000027</v>
      </c>
      <c r="AA375" s="3">
        <f t="shared" si="135"/>
        <v>59.139999999999986</v>
      </c>
      <c r="AC375" s="2" t="str">
        <f t="shared" si="136"/>
        <v>2007-03</v>
      </c>
      <c r="AD375" s="9">
        <f t="shared" si="137"/>
        <v>868.71100000000013</v>
      </c>
      <c r="AE375" s="9">
        <f t="shared" si="138"/>
        <v>21.170999999999999</v>
      </c>
      <c r="AF375" s="9">
        <f t="shared" si="139"/>
        <v>889.88199999999995</v>
      </c>
      <c r="AG375" s="9"/>
      <c r="AH375" s="10">
        <v>39142</v>
      </c>
      <c r="AI375" s="9">
        <f t="shared" si="140"/>
        <v>230.71</v>
      </c>
      <c r="AJ375" s="9">
        <f t="shared" si="141"/>
        <v>268.36500000000007</v>
      </c>
      <c r="AK375" s="9">
        <f t="shared" si="142"/>
        <v>539.01900000000001</v>
      </c>
      <c r="AL375" s="9">
        <f t="shared" si="143"/>
        <v>-169.38300000000001</v>
      </c>
      <c r="AM375" s="12">
        <f t="shared" si="144"/>
        <v>659.17199999999991</v>
      </c>
    </row>
    <row r="376" spans="1:39" x14ac:dyDescent="0.25">
      <c r="A376">
        <v>99996</v>
      </c>
      <c r="B376" t="s">
        <v>445</v>
      </c>
      <c r="C376" s="14">
        <v>1036536</v>
      </c>
      <c r="D376" s="14">
        <v>159266</v>
      </c>
      <c r="E376" s="14">
        <v>142698</v>
      </c>
      <c r="F376" s="14">
        <v>690355</v>
      </c>
      <c r="G376" s="14">
        <v>258295</v>
      </c>
      <c r="H376" s="14">
        <v>365942</v>
      </c>
      <c r="J376" s="14">
        <v>1036073</v>
      </c>
      <c r="K376" s="14">
        <v>123145</v>
      </c>
      <c r="L376" s="14">
        <v>109070</v>
      </c>
      <c r="M376" s="14">
        <v>662749</v>
      </c>
      <c r="N376" s="14">
        <v>269321</v>
      </c>
      <c r="O376" s="14">
        <v>368932</v>
      </c>
      <c r="Q376" s="3">
        <f t="shared" si="127"/>
        <v>0.46300000000000002</v>
      </c>
      <c r="R376" s="3">
        <f t="shared" si="128"/>
        <v>36.121000000000002</v>
      </c>
      <c r="S376" s="3">
        <f t="shared" si="129"/>
        <v>33.628</v>
      </c>
      <c r="T376" s="3">
        <f t="shared" si="130"/>
        <v>-11.026</v>
      </c>
      <c r="V376" s="3">
        <f t="shared" si="131"/>
        <v>27.606000000000002</v>
      </c>
      <c r="W376" s="3">
        <f t="shared" si="132"/>
        <v>-2.99</v>
      </c>
      <c r="Y376" s="3">
        <f t="shared" si="133"/>
        <v>59.186000000000007</v>
      </c>
      <c r="Z376" s="3">
        <f t="shared" si="134"/>
        <v>24.616</v>
      </c>
      <c r="AA376" s="3">
        <f t="shared" si="135"/>
        <v>83.802000000000007</v>
      </c>
      <c r="AC376" s="2" t="str">
        <f t="shared" si="136"/>
        <v>2007-04</v>
      </c>
      <c r="AD376" s="9">
        <f t="shared" si="137"/>
        <v>879.73100000000011</v>
      </c>
      <c r="AE376" s="9">
        <f t="shared" si="138"/>
        <v>44.955000000000005</v>
      </c>
      <c r="AF376" s="9">
        <f t="shared" si="139"/>
        <v>924.68600000000004</v>
      </c>
      <c r="AG376" s="9"/>
      <c r="AH376" s="10">
        <v>39173</v>
      </c>
      <c r="AI376" s="9">
        <f t="shared" si="140"/>
        <v>234.68099999999998</v>
      </c>
      <c r="AJ376" s="9">
        <f t="shared" si="141"/>
        <v>286.48100000000005</v>
      </c>
      <c r="AK376" s="9">
        <f t="shared" si="142"/>
        <v>531.33000000000004</v>
      </c>
      <c r="AL376" s="9">
        <f t="shared" si="143"/>
        <v>-172.761</v>
      </c>
      <c r="AM376" s="12">
        <f t="shared" si="144"/>
        <v>690.00500000000011</v>
      </c>
    </row>
    <row r="377" spans="1:39" x14ac:dyDescent="0.25">
      <c r="A377">
        <v>99996</v>
      </c>
      <c r="B377" t="s">
        <v>446</v>
      </c>
      <c r="C377" s="14">
        <v>1186840</v>
      </c>
      <c r="D377" s="14">
        <v>165332</v>
      </c>
      <c r="E377" s="14">
        <v>215879</v>
      </c>
      <c r="F377" s="14">
        <v>861753</v>
      </c>
      <c r="G377" s="14">
        <v>292299</v>
      </c>
      <c r="H377" s="14">
        <v>442782</v>
      </c>
      <c r="J377" s="14">
        <v>1164182</v>
      </c>
      <c r="K377" s="14">
        <v>138288</v>
      </c>
      <c r="L377" s="14">
        <v>137513</v>
      </c>
      <c r="M377" s="14">
        <v>819709</v>
      </c>
      <c r="N377" s="14">
        <v>314072</v>
      </c>
      <c r="O377" s="14">
        <v>455369</v>
      </c>
      <c r="Q377" s="3">
        <f t="shared" si="127"/>
        <v>22.658000000000001</v>
      </c>
      <c r="R377" s="3">
        <f t="shared" si="128"/>
        <v>27.044</v>
      </c>
      <c r="S377" s="3">
        <f t="shared" si="129"/>
        <v>78.366</v>
      </c>
      <c r="T377" s="3">
        <f t="shared" si="130"/>
        <v>-21.773</v>
      </c>
      <c r="V377" s="3">
        <f t="shared" si="131"/>
        <v>42.043999999999997</v>
      </c>
      <c r="W377" s="3">
        <f t="shared" si="132"/>
        <v>-12.587</v>
      </c>
      <c r="Y377" s="3">
        <f t="shared" si="133"/>
        <v>106.29499999999999</v>
      </c>
      <c r="Z377" s="3">
        <f t="shared" si="134"/>
        <v>29.456999999999997</v>
      </c>
      <c r="AA377" s="3">
        <f t="shared" si="135"/>
        <v>135.75200000000001</v>
      </c>
      <c r="AC377" s="2" t="str">
        <f t="shared" si="136"/>
        <v>2007-05</v>
      </c>
      <c r="AD377" s="9">
        <f t="shared" si="137"/>
        <v>911.15800000000002</v>
      </c>
      <c r="AE377" s="9">
        <f t="shared" si="138"/>
        <v>68.33</v>
      </c>
      <c r="AF377" s="9">
        <f t="shared" si="139"/>
        <v>979.48800000000006</v>
      </c>
      <c r="AG377" s="9"/>
      <c r="AH377" s="10">
        <v>39203</v>
      </c>
      <c r="AI377" s="9">
        <f t="shared" si="140"/>
        <v>241.98599999999999</v>
      </c>
      <c r="AJ377" s="9">
        <f t="shared" si="141"/>
        <v>277.548</v>
      </c>
      <c r="AK377" s="9">
        <f t="shared" si="142"/>
        <v>567.39</v>
      </c>
      <c r="AL377" s="9">
        <f t="shared" si="143"/>
        <v>-175.76600000000002</v>
      </c>
      <c r="AM377" s="12">
        <f t="shared" si="144"/>
        <v>737.50200000000007</v>
      </c>
    </row>
    <row r="378" spans="1:39" x14ac:dyDescent="0.25">
      <c r="A378">
        <v>99996</v>
      </c>
      <c r="B378" t="s">
        <v>447</v>
      </c>
      <c r="C378" s="14">
        <v>1373277</v>
      </c>
      <c r="D378" s="14">
        <v>171020</v>
      </c>
      <c r="E378" s="14">
        <v>184509</v>
      </c>
      <c r="F378" s="14">
        <v>896129</v>
      </c>
      <c r="G378" s="14">
        <v>278799</v>
      </c>
      <c r="H378" s="14">
        <v>442946</v>
      </c>
      <c r="J378" s="14">
        <v>1348975</v>
      </c>
      <c r="K378" s="14">
        <v>131426</v>
      </c>
      <c r="L378" s="14">
        <v>154529</v>
      </c>
      <c r="M378" s="14">
        <v>866165</v>
      </c>
      <c r="N378" s="14">
        <v>285458</v>
      </c>
      <c r="O378" s="14">
        <v>451423</v>
      </c>
      <c r="Q378" s="3">
        <f t="shared" si="127"/>
        <v>24.302</v>
      </c>
      <c r="R378" s="3">
        <f t="shared" si="128"/>
        <v>39.594000000000001</v>
      </c>
      <c r="S378" s="3">
        <f t="shared" si="129"/>
        <v>29.98</v>
      </c>
      <c r="T378" s="3">
        <f t="shared" si="130"/>
        <v>-6.6589999999999998</v>
      </c>
      <c r="V378" s="3">
        <f t="shared" si="131"/>
        <v>29.963999999999999</v>
      </c>
      <c r="W378" s="3">
        <f t="shared" si="132"/>
        <v>-8.4770000000000003</v>
      </c>
      <c r="Y378" s="3">
        <f t="shared" si="133"/>
        <v>87.216999999999999</v>
      </c>
      <c r="Z378" s="3">
        <f t="shared" si="134"/>
        <v>21.486999999999998</v>
      </c>
      <c r="AA378" s="3">
        <f t="shared" si="135"/>
        <v>108.70399999999999</v>
      </c>
      <c r="AC378" s="2" t="str">
        <f t="shared" si="136"/>
        <v>2007-06</v>
      </c>
      <c r="AD378" s="9">
        <f t="shared" si="137"/>
        <v>915.94500000000005</v>
      </c>
      <c r="AE378" s="9">
        <f t="shared" si="138"/>
        <v>88.725999999999999</v>
      </c>
      <c r="AF378" s="9">
        <f t="shared" si="139"/>
        <v>1004.671</v>
      </c>
      <c r="AG378" s="9"/>
      <c r="AH378" s="10">
        <v>39234</v>
      </c>
      <c r="AI378" s="9">
        <f t="shared" si="140"/>
        <v>237.54399999999995</v>
      </c>
      <c r="AJ378" s="9">
        <f t="shared" si="141"/>
        <v>294.13600000000008</v>
      </c>
      <c r="AK378" s="9">
        <f t="shared" si="142"/>
        <v>555.66200000000003</v>
      </c>
      <c r="AL378" s="9">
        <f t="shared" si="143"/>
        <v>-171.39700000000002</v>
      </c>
      <c r="AM378" s="12">
        <f t="shared" si="144"/>
        <v>767.12700000000007</v>
      </c>
    </row>
    <row r="379" spans="1:39" x14ac:dyDescent="0.25">
      <c r="A379">
        <v>99996</v>
      </c>
      <c r="B379" t="s">
        <v>448</v>
      </c>
      <c r="C379" s="14">
        <v>1244821</v>
      </c>
      <c r="D379" s="14">
        <v>164857</v>
      </c>
      <c r="E379" s="14">
        <v>137269</v>
      </c>
      <c r="F379" s="14">
        <v>927052</v>
      </c>
      <c r="G379" s="14">
        <v>289744</v>
      </c>
      <c r="H379" s="14">
        <v>454098</v>
      </c>
      <c r="J379" s="14">
        <v>1254188</v>
      </c>
      <c r="K379" s="14">
        <v>156190</v>
      </c>
      <c r="L379" s="14">
        <v>132545</v>
      </c>
      <c r="M379" s="14">
        <v>905830</v>
      </c>
      <c r="N379" s="14">
        <v>288914</v>
      </c>
      <c r="O379" s="14">
        <v>468981</v>
      </c>
      <c r="Q379" s="3">
        <f t="shared" si="127"/>
        <v>-9.3670000000000009</v>
      </c>
      <c r="R379" s="3">
        <f t="shared" si="128"/>
        <v>8.6669999999999998</v>
      </c>
      <c r="S379" s="3">
        <f t="shared" si="129"/>
        <v>4.7240000000000002</v>
      </c>
      <c r="T379" s="3">
        <f t="shared" si="130"/>
        <v>0.83</v>
      </c>
      <c r="V379" s="3">
        <f t="shared" si="131"/>
        <v>21.222000000000001</v>
      </c>
      <c r="W379" s="3">
        <f t="shared" si="132"/>
        <v>-14.882999999999999</v>
      </c>
      <c r="Y379" s="3">
        <f t="shared" si="133"/>
        <v>4.8539999999999992</v>
      </c>
      <c r="Z379" s="3">
        <f t="shared" si="134"/>
        <v>6.3390000000000022</v>
      </c>
      <c r="AA379" s="3">
        <f t="shared" si="135"/>
        <v>11.193000000000001</v>
      </c>
      <c r="AC379" s="2" t="str">
        <f t="shared" si="136"/>
        <v>2007-07</v>
      </c>
      <c r="AD379" s="9">
        <f t="shared" si="137"/>
        <v>888.39499999999998</v>
      </c>
      <c r="AE379" s="9">
        <f t="shared" si="138"/>
        <v>83.317999999999998</v>
      </c>
      <c r="AF379" s="9">
        <f t="shared" si="139"/>
        <v>971.71299999999997</v>
      </c>
      <c r="AG379" s="9"/>
      <c r="AH379" s="10">
        <v>39264</v>
      </c>
      <c r="AI379" s="9">
        <f t="shared" si="140"/>
        <v>217.29500000000002</v>
      </c>
      <c r="AJ379" s="9">
        <f t="shared" si="141"/>
        <v>283.98700000000002</v>
      </c>
      <c r="AK379" s="9">
        <f t="shared" si="142"/>
        <v>540.17899999999997</v>
      </c>
      <c r="AL379" s="9">
        <f t="shared" si="143"/>
        <v>-153.06599999999997</v>
      </c>
      <c r="AM379" s="12">
        <f t="shared" si="144"/>
        <v>754.41799999999989</v>
      </c>
    </row>
    <row r="380" spans="1:39" x14ac:dyDescent="0.25">
      <c r="A380">
        <v>99996</v>
      </c>
      <c r="B380" t="s">
        <v>449</v>
      </c>
      <c r="C380" s="14">
        <v>1723233</v>
      </c>
      <c r="D380" s="14">
        <v>166107</v>
      </c>
      <c r="E380" s="14">
        <v>155190</v>
      </c>
      <c r="F380" s="14">
        <v>1278775</v>
      </c>
      <c r="G380" s="14">
        <v>279607</v>
      </c>
      <c r="H380" s="14">
        <v>544210</v>
      </c>
      <c r="J380" s="14">
        <v>1725997</v>
      </c>
      <c r="K380" s="14">
        <v>157752</v>
      </c>
      <c r="L380" s="14">
        <v>156009</v>
      </c>
      <c r="M380" s="14">
        <v>1319500</v>
      </c>
      <c r="N380" s="14">
        <v>301286</v>
      </c>
      <c r="O380" s="14">
        <v>557062</v>
      </c>
      <c r="Q380" s="3">
        <f t="shared" si="127"/>
        <v>-2.7639999999999998</v>
      </c>
      <c r="R380" s="3">
        <f t="shared" si="128"/>
        <v>8.3550000000000004</v>
      </c>
      <c r="S380" s="3">
        <f t="shared" si="129"/>
        <v>-0.81899999999999995</v>
      </c>
      <c r="T380" s="3">
        <f t="shared" si="130"/>
        <v>-21.678999999999998</v>
      </c>
      <c r="V380" s="3">
        <f t="shared" si="131"/>
        <v>-40.725000000000001</v>
      </c>
      <c r="W380" s="3">
        <f t="shared" si="132"/>
        <v>-12.852</v>
      </c>
      <c r="Y380" s="3">
        <f t="shared" si="133"/>
        <v>-16.906999999999996</v>
      </c>
      <c r="Z380" s="3">
        <f t="shared" si="134"/>
        <v>-53.576999999999998</v>
      </c>
      <c r="AA380" s="3">
        <f t="shared" si="135"/>
        <v>-70.483999999999995</v>
      </c>
      <c r="AC380" s="2" t="str">
        <f t="shared" si="136"/>
        <v>2007-08</v>
      </c>
      <c r="AD380" s="9">
        <f t="shared" si="137"/>
        <v>760.52599999999995</v>
      </c>
      <c r="AE380" s="9">
        <f t="shared" si="138"/>
        <v>15.427999999999997</v>
      </c>
      <c r="AF380" s="9">
        <f t="shared" si="139"/>
        <v>775.95399999999984</v>
      </c>
      <c r="AG380" s="9"/>
      <c r="AH380" s="10">
        <v>39295</v>
      </c>
      <c r="AI380" s="9">
        <f t="shared" si="140"/>
        <v>171.62499999999994</v>
      </c>
      <c r="AJ380" s="9">
        <f t="shared" si="141"/>
        <v>259.15700000000004</v>
      </c>
      <c r="AK380" s="9">
        <f t="shared" si="142"/>
        <v>494.33499999999992</v>
      </c>
      <c r="AL380" s="9">
        <f t="shared" si="143"/>
        <v>-164.59099999999998</v>
      </c>
      <c r="AM380" s="12">
        <f t="shared" si="144"/>
        <v>604.32899999999995</v>
      </c>
    </row>
    <row r="381" spans="1:39" x14ac:dyDescent="0.25">
      <c r="A381">
        <v>99996</v>
      </c>
      <c r="B381" t="s">
        <v>450</v>
      </c>
      <c r="C381" s="14">
        <v>1216715</v>
      </c>
      <c r="D381" s="14">
        <v>182090</v>
      </c>
      <c r="E381" s="14">
        <v>134280</v>
      </c>
      <c r="F381" s="14">
        <v>799649</v>
      </c>
      <c r="G381" s="14">
        <v>198109</v>
      </c>
      <c r="H381" s="14">
        <v>359707</v>
      </c>
      <c r="J381" s="14">
        <v>1190713</v>
      </c>
      <c r="K381" s="14">
        <v>170608</v>
      </c>
      <c r="L381" s="14">
        <v>118213</v>
      </c>
      <c r="M381" s="14">
        <v>797035</v>
      </c>
      <c r="N381" s="14">
        <v>217835</v>
      </c>
      <c r="O381" s="14">
        <v>380984</v>
      </c>
      <c r="Q381" s="3">
        <f t="shared" si="127"/>
        <v>26.001999999999999</v>
      </c>
      <c r="R381" s="3">
        <f t="shared" si="128"/>
        <v>11.481999999999999</v>
      </c>
      <c r="S381" s="3">
        <f t="shared" si="129"/>
        <v>16.067</v>
      </c>
      <c r="T381" s="3">
        <f t="shared" si="130"/>
        <v>-19.725999999999999</v>
      </c>
      <c r="V381" s="3">
        <f t="shared" si="131"/>
        <v>2.6139999999999999</v>
      </c>
      <c r="W381" s="3">
        <f t="shared" si="132"/>
        <v>-21.277000000000001</v>
      </c>
      <c r="Y381" s="3">
        <f t="shared" si="133"/>
        <v>33.824999999999996</v>
      </c>
      <c r="Z381" s="3">
        <f t="shared" si="134"/>
        <v>-18.663</v>
      </c>
      <c r="AA381" s="3">
        <f t="shared" si="135"/>
        <v>15.161999999999992</v>
      </c>
      <c r="AC381" s="2" t="str">
        <f t="shared" si="136"/>
        <v>2007-09</v>
      </c>
      <c r="AD381" s="9">
        <f t="shared" si="137"/>
        <v>718.77</v>
      </c>
      <c r="AE381" s="9">
        <f t="shared" si="138"/>
        <v>-9.3590000000000124</v>
      </c>
      <c r="AF381" s="9">
        <f t="shared" si="139"/>
        <v>709.41099999999994</v>
      </c>
      <c r="AG381" s="9"/>
      <c r="AH381" s="10">
        <v>39326</v>
      </c>
      <c r="AI381" s="9">
        <f t="shared" si="140"/>
        <v>195.334</v>
      </c>
      <c r="AJ381" s="9">
        <f t="shared" si="141"/>
        <v>245.18699999999998</v>
      </c>
      <c r="AK381" s="9">
        <f t="shared" si="142"/>
        <v>447.41300000000001</v>
      </c>
      <c r="AL381" s="9">
        <f t="shared" si="143"/>
        <v>-169.16399999999999</v>
      </c>
      <c r="AM381" s="12">
        <f t="shared" si="144"/>
        <v>514.077</v>
      </c>
    </row>
    <row r="382" spans="1:39" x14ac:dyDescent="0.25">
      <c r="A382">
        <v>99996</v>
      </c>
      <c r="B382" t="s">
        <v>451</v>
      </c>
      <c r="C382" s="14">
        <v>1327121</v>
      </c>
      <c r="D382" s="14">
        <v>179040</v>
      </c>
      <c r="E382" s="14">
        <v>166376</v>
      </c>
      <c r="F382" s="14">
        <v>999347</v>
      </c>
      <c r="G382" s="14">
        <v>262946</v>
      </c>
      <c r="H382" s="14">
        <v>546484</v>
      </c>
      <c r="J382" s="14">
        <v>1277289</v>
      </c>
      <c r="K382" s="14">
        <v>164162</v>
      </c>
      <c r="L382" s="14">
        <v>143263</v>
      </c>
      <c r="M382" s="14">
        <v>969127</v>
      </c>
      <c r="N382" s="14">
        <v>272028</v>
      </c>
      <c r="O382" s="14">
        <v>541455</v>
      </c>
      <c r="Q382" s="3">
        <f t="shared" si="127"/>
        <v>49.832000000000001</v>
      </c>
      <c r="R382" s="3">
        <f t="shared" si="128"/>
        <v>14.878</v>
      </c>
      <c r="S382" s="3">
        <f t="shared" si="129"/>
        <v>23.113</v>
      </c>
      <c r="T382" s="3">
        <f t="shared" si="130"/>
        <v>-9.0820000000000007</v>
      </c>
      <c r="V382" s="3">
        <f t="shared" si="131"/>
        <v>30.22</v>
      </c>
      <c r="W382" s="3">
        <f t="shared" si="132"/>
        <v>5.0289999999999999</v>
      </c>
      <c r="Y382" s="3">
        <f t="shared" si="133"/>
        <v>78.741000000000014</v>
      </c>
      <c r="Z382" s="3">
        <f t="shared" si="134"/>
        <v>35.248999999999995</v>
      </c>
      <c r="AA382" s="3">
        <f t="shared" si="135"/>
        <v>113.99000000000001</v>
      </c>
      <c r="AC382" s="2" t="str">
        <f t="shared" si="136"/>
        <v>2007-10</v>
      </c>
      <c r="AD382" s="9">
        <f t="shared" si="137"/>
        <v>727.49199999999996</v>
      </c>
      <c r="AE382" s="9">
        <f t="shared" si="138"/>
        <v>6.6089999999999911</v>
      </c>
      <c r="AF382" s="9">
        <f t="shared" si="139"/>
        <v>734.101</v>
      </c>
      <c r="AG382" s="9"/>
      <c r="AH382" s="10">
        <v>39356</v>
      </c>
      <c r="AI382" s="9">
        <f t="shared" si="140"/>
        <v>219.80899999999997</v>
      </c>
      <c r="AJ382" s="9">
        <f t="shared" si="141"/>
        <v>246.29699999999997</v>
      </c>
      <c r="AK382" s="9">
        <f t="shared" si="142"/>
        <v>430.62599999999998</v>
      </c>
      <c r="AL382" s="9">
        <f t="shared" si="143"/>
        <v>-169.23999999999998</v>
      </c>
      <c r="AM382" s="12">
        <f t="shared" si="144"/>
        <v>514.29200000000003</v>
      </c>
    </row>
    <row r="383" spans="1:39" x14ac:dyDescent="0.25">
      <c r="A383">
        <v>99996</v>
      </c>
      <c r="B383" t="s">
        <v>452</v>
      </c>
      <c r="C383" s="14">
        <v>1493184</v>
      </c>
      <c r="D383" s="14">
        <v>174264</v>
      </c>
      <c r="E383" s="14">
        <v>121310</v>
      </c>
      <c r="F383" s="14">
        <v>1101407</v>
      </c>
      <c r="G383" s="14">
        <v>206920</v>
      </c>
      <c r="H383" s="14">
        <v>521977</v>
      </c>
      <c r="J383" s="14">
        <v>1469644</v>
      </c>
      <c r="K383" s="14">
        <v>147627</v>
      </c>
      <c r="L383" s="14">
        <v>105939</v>
      </c>
      <c r="M383" s="14">
        <v>1096657</v>
      </c>
      <c r="N383" s="14">
        <v>195957</v>
      </c>
      <c r="O383" s="14">
        <v>512360</v>
      </c>
      <c r="Q383" s="3">
        <f t="shared" si="127"/>
        <v>23.54</v>
      </c>
      <c r="R383" s="3">
        <f t="shared" si="128"/>
        <v>26.637</v>
      </c>
      <c r="S383" s="3">
        <f t="shared" si="129"/>
        <v>15.371</v>
      </c>
      <c r="T383" s="3">
        <f t="shared" si="130"/>
        <v>10.962999999999999</v>
      </c>
      <c r="V383" s="3">
        <f t="shared" si="131"/>
        <v>4.75</v>
      </c>
      <c r="W383" s="3">
        <f t="shared" si="132"/>
        <v>9.6170000000000009</v>
      </c>
      <c r="Y383" s="3">
        <f t="shared" si="133"/>
        <v>76.510999999999996</v>
      </c>
      <c r="Z383" s="3">
        <f t="shared" si="134"/>
        <v>14.367000000000001</v>
      </c>
      <c r="AA383" s="3">
        <f t="shared" si="135"/>
        <v>90.878</v>
      </c>
      <c r="AC383" s="2" t="str">
        <f t="shared" si="136"/>
        <v>2007-11</v>
      </c>
      <c r="AD383" s="9">
        <f t="shared" si="137"/>
        <v>702.30599999999993</v>
      </c>
      <c r="AE383" s="9">
        <f t="shared" si="138"/>
        <v>35.531999999999989</v>
      </c>
      <c r="AF383" s="9">
        <f t="shared" si="139"/>
        <v>737.83799999999997</v>
      </c>
      <c r="AG383" s="9"/>
      <c r="AH383" s="10">
        <v>39387</v>
      </c>
      <c r="AI383" s="9">
        <f t="shared" si="140"/>
        <v>209.988</v>
      </c>
      <c r="AJ383" s="9">
        <f t="shared" si="141"/>
        <v>257.20799999999997</v>
      </c>
      <c r="AK383" s="9">
        <f t="shared" si="142"/>
        <v>382.20099999999996</v>
      </c>
      <c r="AL383" s="9">
        <f t="shared" si="143"/>
        <v>-147.09099999999998</v>
      </c>
      <c r="AM383" s="12">
        <f t="shared" si="144"/>
        <v>527.84999999999991</v>
      </c>
    </row>
    <row r="384" spans="1:39" x14ac:dyDescent="0.25">
      <c r="A384">
        <v>99996</v>
      </c>
      <c r="B384" t="s">
        <v>453</v>
      </c>
      <c r="C384" s="14">
        <v>999898</v>
      </c>
      <c r="D384" s="14">
        <v>227714</v>
      </c>
      <c r="E384" s="14">
        <v>140595</v>
      </c>
      <c r="F384" s="14">
        <v>944625</v>
      </c>
      <c r="G384" s="14">
        <v>168339</v>
      </c>
      <c r="H384" s="14">
        <v>430223</v>
      </c>
      <c r="J384" s="14">
        <v>998460</v>
      </c>
      <c r="K384" s="14">
        <v>231030</v>
      </c>
      <c r="L384" s="14">
        <v>103091</v>
      </c>
      <c r="M384" s="14">
        <v>911164</v>
      </c>
      <c r="N384" s="14">
        <v>181389</v>
      </c>
      <c r="O384" s="14">
        <v>429767</v>
      </c>
      <c r="Q384" s="3">
        <f t="shared" si="127"/>
        <v>1.4379999999999999</v>
      </c>
      <c r="R384" s="3">
        <f t="shared" si="128"/>
        <v>-3.3159999999999998</v>
      </c>
      <c r="S384" s="3">
        <f t="shared" si="129"/>
        <v>37.503999999999998</v>
      </c>
      <c r="T384" s="3">
        <f t="shared" si="130"/>
        <v>-13.05</v>
      </c>
      <c r="V384" s="3">
        <f t="shared" si="131"/>
        <v>33.460999999999999</v>
      </c>
      <c r="W384" s="3">
        <f t="shared" si="132"/>
        <v>0.45600000000000002</v>
      </c>
      <c r="Y384" s="3">
        <f t="shared" si="133"/>
        <v>22.575999999999997</v>
      </c>
      <c r="Z384" s="3">
        <f t="shared" si="134"/>
        <v>33.917000000000002</v>
      </c>
      <c r="AA384" s="3">
        <f t="shared" si="135"/>
        <v>56.492999999999995</v>
      </c>
      <c r="AC384" s="2" t="str">
        <f t="shared" si="136"/>
        <v>2007-12</v>
      </c>
      <c r="AD384" s="9">
        <f t="shared" si="137"/>
        <v>681.90199999999993</v>
      </c>
      <c r="AE384" s="9">
        <f t="shared" si="138"/>
        <v>100.592</v>
      </c>
      <c r="AF384" s="9">
        <f t="shared" si="139"/>
        <v>782.49399999999991</v>
      </c>
      <c r="AG384" s="9"/>
      <c r="AH384" s="10">
        <v>39417</v>
      </c>
      <c r="AI384" s="9">
        <f t="shared" si="140"/>
        <v>201.05199999999999</v>
      </c>
      <c r="AJ384" s="9">
        <f t="shared" si="141"/>
        <v>226.08599999999998</v>
      </c>
      <c r="AK384" s="9">
        <f t="shared" si="142"/>
        <v>383.339</v>
      </c>
      <c r="AL384" s="9">
        <f t="shared" si="143"/>
        <v>-128.57500000000002</v>
      </c>
      <c r="AM384" s="12">
        <f t="shared" si="144"/>
        <v>581.44199999999989</v>
      </c>
    </row>
    <row r="385" spans="1:39" x14ac:dyDescent="0.25">
      <c r="A385">
        <v>99996</v>
      </c>
      <c r="B385" t="s">
        <v>454</v>
      </c>
      <c r="C385" s="14">
        <v>1487597</v>
      </c>
      <c r="D385" s="14">
        <v>258286</v>
      </c>
      <c r="E385" s="14">
        <v>125084</v>
      </c>
      <c r="F385" s="14">
        <v>1261143</v>
      </c>
      <c r="G385" s="14">
        <v>247961</v>
      </c>
      <c r="H385" s="14">
        <v>523407</v>
      </c>
      <c r="J385" s="14">
        <v>1450834</v>
      </c>
      <c r="K385" s="14">
        <v>242564</v>
      </c>
      <c r="L385" s="14">
        <v>121690</v>
      </c>
      <c r="M385" s="14">
        <v>1243271</v>
      </c>
      <c r="N385" s="14">
        <v>267205</v>
      </c>
      <c r="O385" s="14">
        <v>525688</v>
      </c>
      <c r="Q385" s="3">
        <f t="shared" ref="Q385:Q409" si="145">(C385-J385)/1000</f>
        <v>36.762999999999998</v>
      </c>
      <c r="R385" s="3">
        <f t="shared" ref="R385:R409" si="146">(D385-K385)/1000</f>
        <v>15.722</v>
      </c>
      <c r="S385" s="3">
        <f t="shared" ref="S385:S409" si="147">(E385-L385)/1000</f>
        <v>3.3940000000000001</v>
      </c>
      <c r="T385" s="3">
        <f t="shared" ref="T385:T409" si="148">(G385-N385)/1000</f>
        <v>-19.244</v>
      </c>
      <c r="V385" s="3">
        <f t="shared" ref="V385:V409" si="149">(F385-M385)/1000</f>
        <v>17.872</v>
      </c>
      <c r="W385" s="3">
        <f t="shared" ref="W385:W409" si="150">(H385-O385)/1000</f>
        <v>-2.2810000000000001</v>
      </c>
      <c r="Y385" s="3">
        <f t="shared" ref="Y385:Y409" si="151">SUM(Q385:T385)</f>
        <v>36.634999999999998</v>
      </c>
      <c r="Z385" s="3">
        <f t="shared" ref="Z385:Z409" si="152">V385+W385</f>
        <v>15.590999999999999</v>
      </c>
      <c r="AA385" s="3">
        <f t="shared" ref="AA385:AA409" si="153">SUM(Q385:W385)</f>
        <v>52.225999999999999</v>
      </c>
      <c r="AC385" s="2" t="str">
        <f t="shared" ref="AC385:AC409" si="154">B385</f>
        <v>2008-01</v>
      </c>
      <c r="AD385" s="9">
        <f t="shared" ref="AD385:AD409" si="155">SUM(Y374:Y385)</f>
        <v>617.10599999999999</v>
      </c>
      <c r="AE385" s="9">
        <f t="shared" ref="AE385:AE409" si="156">SUM(Z374:Z385)</f>
        <v>106.255</v>
      </c>
      <c r="AF385" s="9">
        <f t="shared" ref="AF385:AF409" si="157">SUM(AA374:AA385)</f>
        <v>723.36099999999999</v>
      </c>
      <c r="AG385" s="9"/>
      <c r="AH385" s="10">
        <v>39448</v>
      </c>
      <c r="AI385" s="9">
        <f t="shared" ref="AI385:AI409" si="158">SUM(Q374:Q385)</f>
        <v>221.66699999999997</v>
      </c>
      <c r="AJ385" s="9">
        <f t="shared" ref="AJ385:AJ409" si="159">SUM(R374:R385)</f>
        <v>205.55500000000001</v>
      </c>
      <c r="AK385" s="9">
        <f t="shared" ref="AK385:AK409" si="160">SUM(S374:S385)</f>
        <v>337.17899999999997</v>
      </c>
      <c r="AL385" s="9">
        <f t="shared" ref="AL385:AL409" si="161">SUM(T374:T385)</f>
        <v>-147.29500000000002</v>
      </c>
      <c r="AM385" s="12">
        <f t="shared" ref="AM385:AM409" si="162">AF385-AI385</f>
        <v>501.69400000000002</v>
      </c>
    </row>
    <row r="386" spans="1:39" x14ac:dyDescent="0.25">
      <c r="A386">
        <v>99996</v>
      </c>
      <c r="B386" t="s">
        <v>455</v>
      </c>
      <c r="C386" s="14">
        <v>1485680</v>
      </c>
      <c r="D386" s="14">
        <v>279910</v>
      </c>
      <c r="E386" s="14">
        <v>138092</v>
      </c>
      <c r="F386" s="14">
        <v>1009448</v>
      </c>
      <c r="G386" s="14">
        <v>241756</v>
      </c>
      <c r="H386" s="14">
        <v>442265</v>
      </c>
      <c r="J386" s="14">
        <v>1473440</v>
      </c>
      <c r="K386" s="14">
        <v>246344</v>
      </c>
      <c r="L386" s="14">
        <v>118825</v>
      </c>
      <c r="M386" s="14">
        <v>1007396</v>
      </c>
      <c r="N386" s="14">
        <v>237820</v>
      </c>
      <c r="O386" s="14">
        <v>460545</v>
      </c>
      <c r="Q386" s="3">
        <f t="shared" si="145"/>
        <v>12.24</v>
      </c>
      <c r="R386" s="3">
        <f t="shared" si="146"/>
        <v>33.566000000000003</v>
      </c>
      <c r="S386" s="3">
        <f t="shared" si="147"/>
        <v>19.266999999999999</v>
      </c>
      <c r="T386" s="3">
        <f t="shared" si="148"/>
        <v>3.9359999999999999</v>
      </c>
      <c r="V386" s="3">
        <f t="shared" si="149"/>
        <v>2.052</v>
      </c>
      <c r="W386" s="3">
        <f t="shared" si="150"/>
        <v>-18.28</v>
      </c>
      <c r="Y386" s="3">
        <f t="shared" si="151"/>
        <v>69.009000000000015</v>
      </c>
      <c r="Z386" s="3">
        <f t="shared" si="152"/>
        <v>-16.228000000000002</v>
      </c>
      <c r="AA386" s="3">
        <f t="shared" si="153"/>
        <v>52.78100000000002</v>
      </c>
      <c r="AC386" s="2" t="str">
        <f t="shared" si="154"/>
        <v>2008-02</v>
      </c>
      <c r="AD386" s="9">
        <f t="shared" si="155"/>
        <v>617.63599999999997</v>
      </c>
      <c r="AE386" s="9">
        <f t="shared" si="156"/>
        <v>92.000999999999976</v>
      </c>
      <c r="AF386" s="9">
        <f t="shared" si="157"/>
        <v>709.63700000000017</v>
      </c>
      <c r="AG386" s="9"/>
      <c r="AH386" s="10">
        <v>39479</v>
      </c>
      <c r="AI386" s="9">
        <f t="shared" si="158"/>
        <v>216.208</v>
      </c>
      <c r="AJ386" s="9">
        <f t="shared" si="159"/>
        <v>233.898</v>
      </c>
      <c r="AK386" s="9">
        <f t="shared" si="160"/>
        <v>306.75400000000002</v>
      </c>
      <c r="AL386" s="9">
        <f t="shared" si="161"/>
        <v>-139.22400000000002</v>
      </c>
      <c r="AM386" s="12">
        <f t="shared" si="162"/>
        <v>493.4290000000002</v>
      </c>
    </row>
    <row r="387" spans="1:39" x14ac:dyDescent="0.25">
      <c r="A387">
        <v>99996</v>
      </c>
      <c r="B387" t="s">
        <v>456</v>
      </c>
      <c r="C387" s="14">
        <v>1459154</v>
      </c>
      <c r="D387" s="14">
        <v>332852</v>
      </c>
      <c r="E387" s="14">
        <v>140391</v>
      </c>
      <c r="F387" s="14">
        <v>1134086</v>
      </c>
      <c r="G387" s="14">
        <v>264947</v>
      </c>
      <c r="H387" s="14">
        <v>487580</v>
      </c>
      <c r="J387" s="14">
        <v>1408151</v>
      </c>
      <c r="K387" s="14">
        <v>316718</v>
      </c>
      <c r="L387" s="14">
        <v>145082</v>
      </c>
      <c r="M387" s="14">
        <v>1122710</v>
      </c>
      <c r="N387" s="14">
        <v>265122</v>
      </c>
      <c r="O387" s="14">
        <v>490502</v>
      </c>
      <c r="Q387" s="3">
        <f t="shared" si="145"/>
        <v>51.003</v>
      </c>
      <c r="R387" s="3">
        <f t="shared" si="146"/>
        <v>16.134</v>
      </c>
      <c r="S387" s="3">
        <f t="shared" si="147"/>
        <v>-4.6909999999999998</v>
      </c>
      <c r="T387" s="3">
        <f t="shared" si="148"/>
        <v>-0.17499999999999999</v>
      </c>
      <c r="V387" s="3">
        <f t="shared" si="149"/>
        <v>11.375999999999999</v>
      </c>
      <c r="W387" s="3">
        <f t="shared" si="150"/>
        <v>-2.9220000000000002</v>
      </c>
      <c r="Y387" s="3">
        <f t="shared" si="151"/>
        <v>62.271000000000001</v>
      </c>
      <c r="Z387" s="3">
        <f t="shared" si="152"/>
        <v>8.4539999999999988</v>
      </c>
      <c r="AA387" s="3">
        <f t="shared" si="153"/>
        <v>70.725000000000009</v>
      </c>
      <c r="AC387" s="2" t="str">
        <f t="shared" si="154"/>
        <v>2008-03</v>
      </c>
      <c r="AD387" s="9">
        <f t="shared" si="155"/>
        <v>620.21299999999997</v>
      </c>
      <c r="AE387" s="9">
        <f t="shared" si="156"/>
        <v>101.00899999999997</v>
      </c>
      <c r="AF387" s="9">
        <f t="shared" si="157"/>
        <v>721.22200000000009</v>
      </c>
      <c r="AG387" s="9"/>
      <c r="AH387" s="10">
        <v>39508</v>
      </c>
      <c r="AI387" s="9">
        <f t="shared" si="158"/>
        <v>236.11</v>
      </c>
      <c r="AJ387" s="9">
        <f t="shared" si="159"/>
        <v>234.88400000000001</v>
      </c>
      <c r="AK387" s="9">
        <f t="shared" si="160"/>
        <v>255.90400000000002</v>
      </c>
      <c r="AL387" s="9">
        <f t="shared" si="161"/>
        <v>-106.68500000000002</v>
      </c>
      <c r="AM387" s="12">
        <f t="shared" si="162"/>
        <v>485.11200000000008</v>
      </c>
    </row>
    <row r="388" spans="1:39" x14ac:dyDescent="0.25">
      <c r="A388">
        <v>99996</v>
      </c>
      <c r="B388" t="s">
        <v>457</v>
      </c>
      <c r="C388" s="14">
        <v>1202021</v>
      </c>
      <c r="D388" s="14">
        <v>259359</v>
      </c>
      <c r="E388" s="14">
        <v>164754</v>
      </c>
      <c r="F388" s="14">
        <v>958436</v>
      </c>
      <c r="G388" s="14">
        <v>193365</v>
      </c>
      <c r="H388" s="14">
        <v>505496</v>
      </c>
      <c r="J388" s="14">
        <v>1125429</v>
      </c>
      <c r="K388" s="14">
        <v>247169</v>
      </c>
      <c r="L388" s="14">
        <v>139751</v>
      </c>
      <c r="M388" s="14">
        <v>970005</v>
      </c>
      <c r="N388" s="14">
        <v>183725</v>
      </c>
      <c r="O388" s="14">
        <v>505741</v>
      </c>
      <c r="Q388" s="3">
        <f t="shared" si="145"/>
        <v>76.591999999999999</v>
      </c>
      <c r="R388" s="3">
        <f t="shared" si="146"/>
        <v>12.19</v>
      </c>
      <c r="S388" s="3">
        <f t="shared" si="147"/>
        <v>25.003</v>
      </c>
      <c r="T388" s="3">
        <f t="shared" si="148"/>
        <v>9.64</v>
      </c>
      <c r="V388" s="3">
        <f t="shared" si="149"/>
        <v>-11.569000000000001</v>
      </c>
      <c r="W388" s="3">
        <f t="shared" si="150"/>
        <v>-0.245</v>
      </c>
      <c r="Y388" s="3">
        <f t="shared" si="151"/>
        <v>123.425</v>
      </c>
      <c r="Z388" s="3">
        <f t="shared" si="152"/>
        <v>-11.814</v>
      </c>
      <c r="AA388" s="3">
        <f t="shared" si="153"/>
        <v>111.61099999999999</v>
      </c>
      <c r="AC388" s="2" t="str">
        <f t="shared" si="154"/>
        <v>2008-04</v>
      </c>
      <c r="AD388" s="9">
        <f t="shared" si="155"/>
        <v>684.45199999999988</v>
      </c>
      <c r="AE388" s="9">
        <f t="shared" si="156"/>
        <v>64.578999999999979</v>
      </c>
      <c r="AF388" s="9">
        <f t="shared" si="157"/>
        <v>749.03100000000006</v>
      </c>
      <c r="AG388" s="9"/>
      <c r="AH388" s="10">
        <v>39539</v>
      </c>
      <c r="AI388" s="9">
        <f t="shared" si="158"/>
        <v>312.23899999999998</v>
      </c>
      <c r="AJ388" s="9">
        <f t="shared" si="159"/>
        <v>210.95300000000003</v>
      </c>
      <c r="AK388" s="9">
        <f t="shared" si="160"/>
        <v>247.279</v>
      </c>
      <c r="AL388" s="9">
        <f t="shared" si="161"/>
        <v>-86.019000000000005</v>
      </c>
      <c r="AM388" s="12">
        <f t="shared" si="162"/>
        <v>436.79200000000009</v>
      </c>
    </row>
    <row r="389" spans="1:39" x14ac:dyDescent="0.25">
      <c r="A389">
        <v>99996</v>
      </c>
      <c r="B389" t="s">
        <v>458</v>
      </c>
      <c r="C389" s="14">
        <v>1156223</v>
      </c>
      <c r="D389" s="14">
        <v>255882</v>
      </c>
      <c r="E389" s="14">
        <v>189665</v>
      </c>
      <c r="F389" s="14">
        <v>997461</v>
      </c>
      <c r="G389" s="14">
        <v>182595</v>
      </c>
      <c r="H389" s="14">
        <v>494660</v>
      </c>
      <c r="J389" s="14">
        <v>1154433</v>
      </c>
      <c r="K389" s="14">
        <v>230376</v>
      </c>
      <c r="L389" s="14">
        <v>129823</v>
      </c>
      <c r="M389" s="14">
        <v>981481</v>
      </c>
      <c r="N389" s="14">
        <v>192756</v>
      </c>
      <c r="O389" s="14">
        <v>512766</v>
      </c>
      <c r="Q389" s="3">
        <f t="shared" si="145"/>
        <v>1.79</v>
      </c>
      <c r="R389" s="3">
        <f t="shared" si="146"/>
        <v>25.506</v>
      </c>
      <c r="S389" s="3">
        <f t="shared" si="147"/>
        <v>59.841999999999999</v>
      </c>
      <c r="T389" s="3">
        <f t="shared" si="148"/>
        <v>-10.161</v>
      </c>
      <c r="V389" s="3">
        <f t="shared" si="149"/>
        <v>15.98</v>
      </c>
      <c r="W389" s="3">
        <f t="shared" si="150"/>
        <v>-18.106000000000002</v>
      </c>
      <c r="Y389" s="3">
        <f t="shared" si="151"/>
        <v>76.977000000000004</v>
      </c>
      <c r="Z389" s="3">
        <f t="shared" si="152"/>
        <v>-2.1260000000000012</v>
      </c>
      <c r="AA389" s="3">
        <f t="shared" si="153"/>
        <v>74.850999999999999</v>
      </c>
      <c r="AC389" s="2" t="str">
        <f t="shared" si="154"/>
        <v>2008-05</v>
      </c>
      <c r="AD389" s="9">
        <f t="shared" si="155"/>
        <v>655.13400000000001</v>
      </c>
      <c r="AE389" s="9">
        <f t="shared" si="156"/>
        <v>32.995999999999995</v>
      </c>
      <c r="AF389" s="9">
        <f t="shared" si="157"/>
        <v>688.13</v>
      </c>
      <c r="AG389" s="9"/>
      <c r="AH389" s="10">
        <v>39569</v>
      </c>
      <c r="AI389" s="9">
        <f t="shared" si="158"/>
        <v>291.37099999999998</v>
      </c>
      <c r="AJ389" s="9">
        <f t="shared" si="159"/>
        <v>209.41499999999999</v>
      </c>
      <c r="AK389" s="9">
        <f t="shared" si="160"/>
        <v>228.755</v>
      </c>
      <c r="AL389" s="9">
        <f t="shared" si="161"/>
        <v>-74.406999999999982</v>
      </c>
      <c r="AM389" s="12">
        <f t="shared" si="162"/>
        <v>396.75900000000001</v>
      </c>
    </row>
    <row r="390" spans="1:39" x14ac:dyDescent="0.25">
      <c r="A390">
        <v>99996</v>
      </c>
      <c r="B390" t="s">
        <v>459</v>
      </c>
      <c r="C390" s="14">
        <v>1375650</v>
      </c>
      <c r="D390" s="14">
        <v>227298</v>
      </c>
      <c r="E390" s="14">
        <v>124990</v>
      </c>
      <c r="F390" s="14">
        <v>1066125</v>
      </c>
      <c r="G390" s="14">
        <v>189211</v>
      </c>
      <c r="H390" s="14">
        <v>499993</v>
      </c>
      <c r="J390" s="14">
        <v>1347639</v>
      </c>
      <c r="K390" s="14">
        <v>197940</v>
      </c>
      <c r="L390" s="14">
        <v>120305</v>
      </c>
      <c r="M390" s="14">
        <v>1067942</v>
      </c>
      <c r="N390" s="14">
        <v>201877</v>
      </c>
      <c r="O390" s="14">
        <v>498431</v>
      </c>
      <c r="Q390" s="3">
        <f t="shared" si="145"/>
        <v>28.010999999999999</v>
      </c>
      <c r="R390" s="3">
        <f t="shared" si="146"/>
        <v>29.358000000000001</v>
      </c>
      <c r="S390" s="3">
        <f t="shared" si="147"/>
        <v>4.6849999999999996</v>
      </c>
      <c r="T390" s="3">
        <f t="shared" si="148"/>
        <v>-12.666</v>
      </c>
      <c r="V390" s="3">
        <f t="shared" si="149"/>
        <v>-1.8169999999999999</v>
      </c>
      <c r="W390" s="3">
        <f t="shared" si="150"/>
        <v>1.5620000000000001</v>
      </c>
      <c r="Y390" s="3">
        <f t="shared" si="151"/>
        <v>49.388000000000005</v>
      </c>
      <c r="Z390" s="3">
        <f t="shared" si="152"/>
        <v>-0.25499999999999989</v>
      </c>
      <c r="AA390" s="3">
        <f t="shared" si="153"/>
        <v>49.133000000000003</v>
      </c>
      <c r="AC390" s="2" t="str">
        <f t="shared" si="154"/>
        <v>2008-06</v>
      </c>
      <c r="AD390" s="9">
        <f t="shared" si="155"/>
        <v>617.30500000000006</v>
      </c>
      <c r="AE390" s="9">
        <f t="shared" si="156"/>
        <v>11.253999999999998</v>
      </c>
      <c r="AF390" s="9">
        <f t="shared" si="157"/>
        <v>628.55899999999997</v>
      </c>
      <c r="AG390" s="9"/>
      <c r="AH390" s="10">
        <v>39600</v>
      </c>
      <c r="AI390" s="9">
        <f t="shared" si="158"/>
        <v>295.08000000000004</v>
      </c>
      <c r="AJ390" s="9">
        <f t="shared" si="159"/>
        <v>199.179</v>
      </c>
      <c r="AK390" s="9">
        <f t="shared" si="160"/>
        <v>203.45999999999998</v>
      </c>
      <c r="AL390" s="9">
        <f t="shared" si="161"/>
        <v>-80.413999999999987</v>
      </c>
      <c r="AM390" s="12">
        <f t="shared" si="162"/>
        <v>333.47899999999993</v>
      </c>
    </row>
    <row r="391" spans="1:39" x14ac:dyDescent="0.25">
      <c r="A391">
        <v>99996</v>
      </c>
      <c r="B391" t="s">
        <v>460</v>
      </c>
      <c r="C391" s="14">
        <v>1274643</v>
      </c>
      <c r="D391" s="14">
        <v>173505</v>
      </c>
      <c r="E391" s="14">
        <v>97810</v>
      </c>
      <c r="F391" s="14">
        <v>1273558</v>
      </c>
      <c r="G391" s="14">
        <v>159469</v>
      </c>
      <c r="H391" s="14">
        <v>560901</v>
      </c>
      <c r="J391" s="14">
        <v>1240631</v>
      </c>
      <c r="K391" s="14">
        <v>215571</v>
      </c>
      <c r="L391" s="14">
        <v>101948</v>
      </c>
      <c r="M391" s="14">
        <v>1279336</v>
      </c>
      <c r="N391" s="14">
        <v>143941</v>
      </c>
      <c r="O391" s="14">
        <v>544007</v>
      </c>
      <c r="Q391" s="3">
        <f t="shared" si="145"/>
        <v>34.012</v>
      </c>
      <c r="R391" s="3">
        <f t="shared" si="146"/>
        <v>-42.066000000000003</v>
      </c>
      <c r="S391" s="3">
        <f t="shared" si="147"/>
        <v>-4.1379999999999999</v>
      </c>
      <c r="T391" s="3">
        <f t="shared" si="148"/>
        <v>15.528</v>
      </c>
      <c r="V391" s="3">
        <f t="shared" si="149"/>
        <v>-5.7779999999999996</v>
      </c>
      <c r="W391" s="3">
        <f t="shared" si="150"/>
        <v>16.893999999999998</v>
      </c>
      <c r="Y391" s="3">
        <f t="shared" si="151"/>
        <v>3.3359999999999985</v>
      </c>
      <c r="Z391" s="3">
        <f t="shared" si="152"/>
        <v>11.116</v>
      </c>
      <c r="AA391" s="3">
        <f t="shared" si="153"/>
        <v>14.451999999999998</v>
      </c>
      <c r="AC391" s="2" t="str">
        <f t="shared" si="154"/>
        <v>2008-07</v>
      </c>
      <c r="AD391" s="9">
        <f t="shared" si="155"/>
        <v>615.78700000000003</v>
      </c>
      <c r="AE391" s="9">
        <f t="shared" si="156"/>
        <v>16.030999999999999</v>
      </c>
      <c r="AF391" s="9">
        <f t="shared" si="157"/>
        <v>631.81799999999998</v>
      </c>
      <c r="AG391" s="9"/>
      <c r="AH391" s="10">
        <v>39630</v>
      </c>
      <c r="AI391" s="9">
        <f t="shared" si="158"/>
        <v>338.459</v>
      </c>
      <c r="AJ391" s="9">
        <f t="shared" si="159"/>
        <v>148.446</v>
      </c>
      <c r="AK391" s="9">
        <f t="shared" si="160"/>
        <v>194.59799999999998</v>
      </c>
      <c r="AL391" s="9">
        <f t="shared" si="161"/>
        <v>-65.715999999999994</v>
      </c>
      <c r="AM391" s="12">
        <f t="shared" si="162"/>
        <v>293.35899999999998</v>
      </c>
    </row>
    <row r="392" spans="1:39" x14ac:dyDescent="0.25">
      <c r="A392">
        <v>99996</v>
      </c>
      <c r="B392" t="s">
        <v>461</v>
      </c>
      <c r="C392" s="14">
        <v>1022035</v>
      </c>
      <c r="D392" s="14">
        <v>155794</v>
      </c>
      <c r="E392" s="14">
        <v>80587</v>
      </c>
      <c r="F392" s="14">
        <v>905531</v>
      </c>
      <c r="G392" s="14">
        <v>157519</v>
      </c>
      <c r="H392" s="14">
        <v>428218</v>
      </c>
      <c r="J392" s="14">
        <v>989198</v>
      </c>
      <c r="K392" s="14">
        <v>179983</v>
      </c>
      <c r="L392" s="14">
        <v>93717</v>
      </c>
      <c r="M392" s="14">
        <v>906513</v>
      </c>
      <c r="N392" s="14">
        <v>140148</v>
      </c>
      <c r="O392" s="14">
        <v>425367</v>
      </c>
      <c r="Q392" s="3">
        <f t="shared" si="145"/>
        <v>32.837000000000003</v>
      </c>
      <c r="R392" s="3">
        <f t="shared" si="146"/>
        <v>-24.189</v>
      </c>
      <c r="S392" s="3">
        <f t="shared" si="147"/>
        <v>-13.13</v>
      </c>
      <c r="T392" s="3">
        <f t="shared" si="148"/>
        <v>17.370999999999999</v>
      </c>
      <c r="V392" s="3">
        <f t="shared" si="149"/>
        <v>-0.98199999999999998</v>
      </c>
      <c r="W392" s="3">
        <f t="shared" si="150"/>
        <v>2.851</v>
      </c>
      <c r="Y392" s="3">
        <f t="shared" si="151"/>
        <v>12.889000000000001</v>
      </c>
      <c r="Z392" s="3">
        <f t="shared" si="152"/>
        <v>1.869</v>
      </c>
      <c r="AA392" s="3">
        <f t="shared" si="153"/>
        <v>14.758000000000003</v>
      </c>
      <c r="AC392" s="2" t="str">
        <f t="shared" si="154"/>
        <v>2008-08</v>
      </c>
      <c r="AD392" s="9">
        <f t="shared" si="155"/>
        <v>645.58300000000008</v>
      </c>
      <c r="AE392" s="9">
        <f t="shared" si="156"/>
        <v>71.477000000000004</v>
      </c>
      <c r="AF392" s="9">
        <f t="shared" si="157"/>
        <v>717.06000000000006</v>
      </c>
      <c r="AG392" s="9"/>
      <c r="AH392" s="10">
        <v>39661</v>
      </c>
      <c r="AI392" s="9">
        <f t="shared" si="158"/>
        <v>374.06</v>
      </c>
      <c r="AJ392" s="9">
        <f t="shared" si="159"/>
        <v>115.90199999999999</v>
      </c>
      <c r="AK392" s="9">
        <f t="shared" si="160"/>
        <v>182.28700000000001</v>
      </c>
      <c r="AL392" s="9">
        <f t="shared" si="161"/>
        <v>-26.666</v>
      </c>
      <c r="AM392" s="12">
        <f t="shared" si="162"/>
        <v>343.00000000000006</v>
      </c>
    </row>
    <row r="393" spans="1:39" x14ac:dyDescent="0.25">
      <c r="A393">
        <v>99996</v>
      </c>
      <c r="B393" t="s">
        <v>462</v>
      </c>
      <c r="C393" s="14">
        <v>1628400</v>
      </c>
      <c r="D393" s="14">
        <v>190617</v>
      </c>
      <c r="E393" s="14">
        <v>93859</v>
      </c>
      <c r="F393" s="14">
        <v>1168886</v>
      </c>
      <c r="G393" s="14">
        <v>227068</v>
      </c>
      <c r="H393" s="14">
        <v>482935</v>
      </c>
      <c r="J393" s="14">
        <v>1608284</v>
      </c>
      <c r="K393" s="14">
        <v>186120</v>
      </c>
      <c r="L393" s="14">
        <v>102298</v>
      </c>
      <c r="M393" s="14">
        <v>1157374</v>
      </c>
      <c r="N393" s="14">
        <v>193183</v>
      </c>
      <c r="O393" s="14">
        <v>485407</v>
      </c>
      <c r="Q393" s="3">
        <f t="shared" si="145"/>
        <v>20.116</v>
      </c>
      <c r="R393" s="3">
        <f t="shared" si="146"/>
        <v>4.4969999999999999</v>
      </c>
      <c r="S393" s="3">
        <f t="shared" si="147"/>
        <v>-8.4390000000000001</v>
      </c>
      <c r="T393" s="3">
        <f t="shared" si="148"/>
        <v>33.884999999999998</v>
      </c>
      <c r="V393" s="3">
        <f t="shared" si="149"/>
        <v>11.512</v>
      </c>
      <c r="W393" s="3">
        <f t="shared" si="150"/>
        <v>-2.472</v>
      </c>
      <c r="Y393" s="3">
        <f t="shared" si="151"/>
        <v>50.058999999999997</v>
      </c>
      <c r="Z393" s="3">
        <f t="shared" si="152"/>
        <v>9.0400000000000009</v>
      </c>
      <c r="AA393" s="3">
        <f t="shared" si="153"/>
        <v>59.098999999999997</v>
      </c>
      <c r="AC393" s="2" t="str">
        <f t="shared" si="154"/>
        <v>2008-09</v>
      </c>
      <c r="AD393" s="9">
        <f t="shared" si="155"/>
        <v>661.81700000000001</v>
      </c>
      <c r="AE393" s="9">
        <f t="shared" si="156"/>
        <v>99.179999999999978</v>
      </c>
      <c r="AF393" s="9">
        <f t="shared" si="157"/>
        <v>760.99700000000007</v>
      </c>
      <c r="AG393" s="9"/>
      <c r="AH393" s="10">
        <v>39692</v>
      </c>
      <c r="AI393" s="9">
        <f t="shared" si="158"/>
        <v>368.17399999999998</v>
      </c>
      <c r="AJ393" s="9">
        <f t="shared" si="159"/>
        <v>108.91700000000002</v>
      </c>
      <c r="AK393" s="9">
        <f t="shared" si="160"/>
        <v>157.78100000000001</v>
      </c>
      <c r="AL393" s="9">
        <f t="shared" si="161"/>
        <v>26.944999999999997</v>
      </c>
      <c r="AM393" s="12">
        <f t="shared" si="162"/>
        <v>392.82300000000009</v>
      </c>
    </row>
    <row r="394" spans="1:39" x14ac:dyDescent="0.25">
      <c r="A394">
        <v>99996</v>
      </c>
      <c r="B394" t="s">
        <v>463</v>
      </c>
      <c r="C394" s="14">
        <v>1179175</v>
      </c>
      <c r="D394" s="14">
        <v>201719</v>
      </c>
      <c r="E394" s="14">
        <v>91136</v>
      </c>
      <c r="F394" s="14">
        <v>1019890</v>
      </c>
      <c r="G394" s="14">
        <v>177827</v>
      </c>
      <c r="H394" s="14">
        <v>468005</v>
      </c>
      <c r="J394" s="14">
        <v>1146303</v>
      </c>
      <c r="K394" s="14">
        <v>251935</v>
      </c>
      <c r="L394" s="14">
        <v>104200</v>
      </c>
      <c r="M394" s="14">
        <v>1026102</v>
      </c>
      <c r="N394" s="14">
        <v>171972</v>
      </c>
      <c r="O394" s="14">
        <v>446310</v>
      </c>
      <c r="Q394" s="3">
        <f t="shared" si="145"/>
        <v>32.872</v>
      </c>
      <c r="R394" s="3">
        <f t="shared" si="146"/>
        <v>-50.216000000000001</v>
      </c>
      <c r="S394" s="3">
        <f t="shared" si="147"/>
        <v>-13.064</v>
      </c>
      <c r="T394" s="3">
        <f t="shared" si="148"/>
        <v>5.8550000000000004</v>
      </c>
      <c r="V394" s="3">
        <f t="shared" si="149"/>
        <v>-6.2119999999999997</v>
      </c>
      <c r="W394" s="3">
        <f t="shared" si="150"/>
        <v>21.695</v>
      </c>
      <c r="Y394" s="3">
        <f t="shared" si="151"/>
        <v>-24.553000000000001</v>
      </c>
      <c r="Z394" s="3">
        <f t="shared" si="152"/>
        <v>15.483000000000001</v>
      </c>
      <c r="AA394" s="3">
        <f t="shared" si="153"/>
        <v>-9.07</v>
      </c>
      <c r="AC394" s="2" t="str">
        <f t="shared" si="154"/>
        <v>2008-10</v>
      </c>
      <c r="AD394" s="9">
        <f t="shared" si="155"/>
        <v>558.52300000000002</v>
      </c>
      <c r="AE394" s="9">
        <f t="shared" si="156"/>
        <v>79.414000000000001</v>
      </c>
      <c r="AF394" s="9">
        <f t="shared" si="157"/>
        <v>637.93700000000001</v>
      </c>
      <c r="AG394" s="9"/>
      <c r="AH394" s="10">
        <v>39722</v>
      </c>
      <c r="AI394" s="9">
        <f t="shared" si="158"/>
        <v>351.214</v>
      </c>
      <c r="AJ394" s="9">
        <f t="shared" si="159"/>
        <v>43.823</v>
      </c>
      <c r="AK394" s="9">
        <f t="shared" si="160"/>
        <v>121.60400000000001</v>
      </c>
      <c r="AL394" s="9">
        <f t="shared" si="161"/>
        <v>41.881999999999991</v>
      </c>
      <c r="AM394" s="12">
        <f t="shared" si="162"/>
        <v>286.72300000000001</v>
      </c>
    </row>
    <row r="395" spans="1:39" x14ac:dyDescent="0.25">
      <c r="A395">
        <v>99996</v>
      </c>
      <c r="B395" t="s">
        <v>464</v>
      </c>
      <c r="C395" s="14">
        <v>689614</v>
      </c>
      <c r="D395" s="14">
        <v>141453</v>
      </c>
      <c r="E395" s="14">
        <v>81475</v>
      </c>
      <c r="F395" s="14">
        <v>649502</v>
      </c>
      <c r="G395" s="14">
        <v>123696</v>
      </c>
      <c r="H395" s="14">
        <v>293154</v>
      </c>
      <c r="J395" s="14">
        <v>715398</v>
      </c>
      <c r="K395" s="14">
        <v>163685</v>
      </c>
      <c r="L395" s="14">
        <v>97690</v>
      </c>
      <c r="M395" s="14">
        <v>644547</v>
      </c>
      <c r="N395" s="14">
        <v>113478</v>
      </c>
      <c r="O395" s="14">
        <v>271892</v>
      </c>
      <c r="Q395" s="3">
        <f t="shared" si="145"/>
        <v>-25.783999999999999</v>
      </c>
      <c r="R395" s="3">
        <f t="shared" si="146"/>
        <v>-22.231999999999999</v>
      </c>
      <c r="S395" s="3">
        <f t="shared" si="147"/>
        <v>-16.215</v>
      </c>
      <c r="T395" s="3">
        <f t="shared" si="148"/>
        <v>10.218</v>
      </c>
      <c r="V395" s="3">
        <f t="shared" si="149"/>
        <v>4.9550000000000001</v>
      </c>
      <c r="W395" s="3">
        <f t="shared" si="150"/>
        <v>21.262</v>
      </c>
      <c r="Y395" s="3">
        <f t="shared" si="151"/>
        <v>-54.012999999999991</v>
      </c>
      <c r="Z395" s="3">
        <f t="shared" si="152"/>
        <v>26.216999999999999</v>
      </c>
      <c r="AA395" s="3">
        <f t="shared" si="153"/>
        <v>-27.795999999999992</v>
      </c>
      <c r="AC395" s="2" t="str">
        <f t="shared" si="154"/>
        <v>2008-11</v>
      </c>
      <c r="AD395" s="9">
        <f t="shared" si="155"/>
        <v>427.99900000000008</v>
      </c>
      <c r="AE395" s="9">
        <f t="shared" si="156"/>
        <v>91.263999999999996</v>
      </c>
      <c r="AF395" s="9">
        <f t="shared" si="157"/>
        <v>519.26299999999992</v>
      </c>
      <c r="AG395" s="9"/>
      <c r="AH395" s="10">
        <v>39753</v>
      </c>
      <c r="AI395" s="9">
        <f t="shared" si="158"/>
        <v>301.89</v>
      </c>
      <c r="AJ395" s="9">
        <f t="shared" si="159"/>
        <v>-5.0460000000000136</v>
      </c>
      <c r="AK395" s="9">
        <f t="shared" si="160"/>
        <v>90.018000000000001</v>
      </c>
      <c r="AL395" s="9">
        <f t="shared" si="161"/>
        <v>41.137</v>
      </c>
      <c r="AM395" s="12">
        <f t="shared" si="162"/>
        <v>217.37299999999993</v>
      </c>
    </row>
    <row r="396" spans="1:39" x14ac:dyDescent="0.25">
      <c r="A396">
        <v>99996</v>
      </c>
      <c r="B396" t="s">
        <v>465</v>
      </c>
      <c r="C396" s="14">
        <v>668008</v>
      </c>
      <c r="D396" s="14">
        <v>112929</v>
      </c>
      <c r="E396" s="14">
        <v>139661</v>
      </c>
      <c r="F396" s="14">
        <v>572642</v>
      </c>
      <c r="G396" s="14">
        <v>105394</v>
      </c>
      <c r="H396" s="14">
        <v>251813</v>
      </c>
      <c r="J396" s="14">
        <v>653424</v>
      </c>
      <c r="K396" s="14">
        <v>150240</v>
      </c>
      <c r="L396" s="14">
        <v>97979</v>
      </c>
      <c r="M396" s="14">
        <v>568546</v>
      </c>
      <c r="N396" s="14">
        <v>93151</v>
      </c>
      <c r="O396" s="14">
        <v>251328</v>
      </c>
      <c r="Q396" s="3">
        <f t="shared" si="145"/>
        <v>14.584</v>
      </c>
      <c r="R396" s="3">
        <f t="shared" si="146"/>
        <v>-37.311</v>
      </c>
      <c r="S396" s="3">
        <f t="shared" si="147"/>
        <v>41.682000000000002</v>
      </c>
      <c r="T396" s="3">
        <f t="shared" si="148"/>
        <v>12.243</v>
      </c>
      <c r="V396" s="3">
        <f t="shared" si="149"/>
        <v>4.0960000000000001</v>
      </c>
      <c r="W396" s="3">
        <f t="shared" si="150"/>
        <v>0.48499999999999999</v>
      </c>
      <c r="Y396" s="3">
        <f t="shared" si="151"/>
        <v>31.198</v>
      </c>
      <c r="Z396" s="3">
        <f t="shared" si="152"/>
        <v>4.5810000000000004</v>
      </c>
      <c r="AA396" s="3">
        <f t="shared" si="153"/>
        <v>35.778999999999996</v>
      </c>
      <c r="AC396" s="2" t="str">
        <f t="shared" si="154"/>
        <v>2008-12</v>
      </c>
      <c r="AD396" s="9">
        <f t="shared" si="155"/>
        <v>436.62100000000004</v>
      </c>
      <c r="AE396" s="9">
        <f t="shared" si="156"/>
        <v>61.927999999999997</v>
      </c>
      <c r="AF396" s="9">
        <f t="shared" si="157"/>
        <v>498.54899999999998</v>
      </c>
      <c r="AG396" s="9"/>
      <c r="AH396" s="10">
        <v>39783</v>
      </c>
      <c r="AI396" s="9">
        <f t="shared" si="158"/>
        <v>315.036</v>
      </c>
      <c r="AJ396" s="9">
        <f t="shared" si="159"/>
        <v>-39.040999999999997</v>
      </c>
      <c r="AK396" s="9">
        <f t="shared" si="160"/>
        <v>94.196000000000012</v>
      </c>
      <c r="AL396" s="9">
        <f t="shared" si="161"/>
        <v>66.429999999999993</v>
      </c>
      <c r="AM396" s="12">
        <f t="shared" si="162"/>
        <v>183.51299999999998</v>
      </c>
    </row>
    <row r="397" spans="1:39" x14ac:dyDescent="0.25">
      <c r="A397">
        <v>99996</v>
      </c>
      <c r="B397" t="s">
        <v>466</v>
      </c>
      <c r="C397" s="14">
        <v>621144</v>
      </c>
      <c r="D397" s="14">
        <v>105633</v>
      </c>
      <c r="E397" s="14">
        <v>93443</v>
      </c>
      <c r="F397" s="14">
        <v>517209</v>
      </c>
      <c r="G397" s="14">
        <v>115180</v>
      </c>
      <c r="H397" s="14">
        <v>235457</v>
      </c>
      <c r="J397" s="14">
        <v>610220</v>
      </c>
      <c r="K397" s="14">
        <v>121269</v>
      </c>
      <c r="L397" s="14">
        <v>100788</v>
      </c>
      <c r="M397" s="14">
        <v>514431</v>
      </c>
      <c r="N397" s="14">
        <v>142100</v>
      </c>
      <c r="O397" s="14">
        <v>232343</v>
      </c>
      <c r="Q397" s="3">
        <f t="shared" si="145"/>
        <v>10.923999999999999</v>
      </c>
      <c r="R397" s="3">
        <f t="shared" si="146"/>
        <v>-15.635999999999999</v>
      </c>
      <c r="S397" s="3">
        <f t="shared" si="147"/>
        <v>-7.3449999999999998</v>
      </c>
      <c r="T397" s="3">
        <f t="shared" si="148"/>
        <v>-26.92</v>
      </c>
      <c r="V397" s="3">
        <f t="shared" si="149"/>
        <v>2.778</v>
      </c>
      <c r="W397" s="3">
        <f t="shared" si="150"/>
        <v>3.1139999999999999</v>
      </c>
      <c r="Y397" s="3">
        <f t="shared" si="151"/>
        <v>-38.977000000000004</v>
      </c>
      <c r="Z397" s="3">
        <f t="shared" si="152"/>
        <v>5.8919999999999995</v>
      </c>
      <c r="AA397" s="3">
        <f t="shared" si="153"/>
        <v>-33.085000000000008</v>
      </c>
      <c r="AC397" s="2" t="str">
        <f t="shared" si="154"/>
        <v>2009-01</v>
      </c>
      <c r="AD397" s="9">
        <f t="shared" si="155"/>
        <v>361.00900000000001</v>
      </c>
      <c r="AE397" s="9">
        <f t="shared" si="156"/>
        <v>52.228999999999999</v>
      </c>
      <c r="AF397" s="9">
        <f t="shared" si="157"/>
        <v>413.23799999999994</v>
      </c>
      <c r="AG397" s="9"/>
      <c r="AH397" s="10">
        <v>39814</v>
      </c>
      <c r="AI397" s="9">
        <f t="shared" si="158"/>
        <v>289.197</v>
      </c>
      <c r="AJ397" s="9">
        <f t="shared" si="159"/>
        <v>-70.399000000000001</v>
      </c>
      <c r="AK397" s="9">
        <f t="shared" si="160"/>
        <v>83.457000000000008</v>
      </c>
      <c r="AL397" s="9">
        <f t="shared" si="161"/>
        <v>58.753999999999991</v>
      </c>
      <c r="AM397" s="12">
        <f t="shared" si="162"/>
        <v>124.04099999999994</v>
      </c>
    </row>
    <row r="398" spans="1:39" x14ac:dyDescent="0.25">
      <c r="A398">
        <v>99996</v>
      </c>
      <c r="B398" t="s">
        <v>467</v>
      </c>
      <c r="C398" s="14">
        <v>702379</v>
      </c>
      <c r="D398" s="14">
        <v>120088</v>
      </c>
      <c r="E398" s="14">
        <v>133845</v>
      </c>
      <c r="F398" s="14">
        <v>500732</v>
      </c>
      <c r="G398" s="14">
        <v>103180</v>
      </c>
      <c r="H398" s="14">
        <v>211722</v>
      </c>
      <c r="J398" s="14">
        <v>680644</v>
      </c>
      <c r="K398" s="14">
        <v>118053</v>
      </c>
      <c r="L398" s="14">
        <v>130851</v>
      </c>
      <c r="M398" s="14">
        <v>504936</v>
      </c>
      <c r="N398" s="14">
        <v>103292</v>
      </c>
      <c r="O398" s="14">
        <v>210084</v>
      </c>
      <c r="Q398" s="3">
        <f t="shared" si="145"/>
        <v>21.734999999999999</v>
      </c>
      <c r="R398" s="3">
        <f t="shared" si="146"/>
        <v>2.0350000000000001</v>
      </c>
      <c r="S398" s="3">
        <f t="shared" si="147"/>
        <v>2.9940000000000002</v>
      </c>
      <c r="T398" s="3">
        <f t="shared" si="148"/>
        <v>-0.112</v>
      </c>
      <c r="V398" s="3">
        <f t="shared" si="149"/>
        <v>-4.2039999999999997</v>
      </c>
      <c r="W398" s="3">
        <f t="shared" si="150"/>
        <v>1.6379999999999999</v>
      </c>
      <c r="Y398" s="3">
        <f t="shared" si="151"/>
        <v>26.652000000000001</v>
      </c>
      <c r="Z398" s="3">
        <f t="shared" si="152"/>
        <v>-2.5659999999999998</v>
      </c>
      <c r="AA398" s="3">
        <f t="shared" si="153"/>
        <v>24.085999999999999</v>
      </c>
      <c r="AC398" s="2" t="str">
        <f t="shared" si="154"/>
        <v>2009-02</v>
      </c>
      <c r="AD398" s="9">
        <f t="shared" si="155"/>
        <v>318.65199999999999</v>
      </c>
      <c r="AE398" s="9">
        <f t="shared" si="156"/>
        <v>65.890999999999991</v>
      </c>
      <c r="AF398" s="9">
        <f t="shared" si="157"/>
        <v>384.54300000000001</v>
      </c>
      <c r="AG398" s="9"/>
      <c r="AH398" s="10">
        <v>39845</v>
      </c>
      <c r="AI398" s="9">
        <f t="shared" si="158"/>
        <v>298.69200000000001</v>
      </c>
      <c r="AJ398" s="9">
        <f t="shared" si="159"/>
        <v>-101.93</v>
      </c>
      <c r="AK398" s="9">
        <f t="shared" si="160"/>
        <v>67.183999999999997</v>
      </c>
      <c r="AL398" s="9">
        <f t="shared" si="161"/>
        <v>54.705999999999996</v>
      </c>
      <c r="AM398" s="12">
        <f t="shared" si="162"/>
        <v>85.850999999999999</v>
      </c>
    </row>
    <row r="399" spans="1:39" x14ac:dyDescent="0.25">
      <c r="A399">
        <v>99996</v>
      </c>
      <c r="B399" t="s">
        <v>468</v>
      </c>
      <c r="C399" s="14">
        <v>903935</v>
      </c>
      <c r="D399" s="14">
        <v>91538</v>
      </c>
      <c r="E399" s="14">
        <v>131686</v>
      </c>
      <c r="F399" s="14">
        <v>630631</v>
      </c>
      <c r="G399" s="14">
        <v>127519</v>
      </c>
      <c r="H399" s="14">
        <v>252783</v>
      </c>
      <c r="J399" s="14">
        <v>848694</v>
      </c>
      <c r="K399" s="14">
        <v>107204</v>
      </c>
      <c r="L399" s="14">
        <v>124316</v>
      </c>
      <c r="M399" s="14">
        <v>615872</v>
      </c>
      <c r="N399" s="14">
        <v>127863</v>
      </c>
      <c r="O399" s="14">
        <v>253375</v>
      </c>
      <c r="Q399" s="3">
        <f t="shared" si="145"/>
        <v>55.241</v>
      </c>
      <c r="R399" s="3">
        <f t="shared" si="146"/>
        <v>-15.666</v>
      </c>
      <c r="S399" s="3">
        <f t="shared" si="147"/>
        <v>7.37</v>
      </c>
      <c r="T399" s="3">
        <f t="shared" si="148"/>
        <v>-0.34399999999999997</v>
      </c>
      <c r="V399" s="3">
        <f t="shared" si="149"/>
        <v>14.759</v>
      </c>
      <c r="W399" s="3">
        <f t="shared" si="150"/>
        <v>-0.59199999999999997</v>
      </c>
      <c r="Y399" s="3">
        <f t="shared" si="151"/>
        <v>46.600999999999999</v>
      </c>
      <c r="Z399" s="3">
        <f t="shared" si="152"/>
        <v>14.167</v>
      </c>
      <c r="AA399" s="3">
        <f t="shared" si="153"/>
        <v>60.768000000000001</v>
      </c>
      <c r="AC399" s="2" t="str">
        <f t="shared" si="154"/>
        <v>2009-03</v>
      </c>
      <c r="AD399" s="9">
        <f t="shared" si="155"/>
        <v>302.98199999999997</v>
      </c>
      <c r="AE399" s="9">
        <f t="shared" si="156"/>
        <v>71.603999999999999</v>
      </c>
      <c r="AF399" s="9">
        <f t="shared" si="157"/>
        <v>374.58600000000001</v>
      </c>
      <c r="AG399" s="9"/>
      <c r="AH399" s="10">
        <v>39873</v>
      </c>
      <c r="AI399" s="9">
        <f t="shared" si="158"/>
        <v>302.93</v>
      </c>
      <c r="AJ399" s="9">
        <f t="shared" si="159"/>
        <v>-133.72999999999999</v>
      </c>
      <c r="AK399" s="9">
        <f t="shared" si="160"/>
        <v>79.245000000000005</v>
      </c>
      <c r="AL399" s="9">
        <f t="shared" si="161"/>
        <v>54.536999999999992</v>
      </c>
      <c r="AM399" s="12">
        <f t="shared" si="162"/>
        <v>71.656000000000006</v>
      </c>
    </row>
    <row r="400" spans="1:39" x14ac:dyDescent="0.25">
      <c r="A400">
        <v>99996</v>
      </c>
      <c r="B400" t="s">
        <v>469</v>
      </c>
      <c r="C400" s="14">
        <v>733806</v>
      </c>
      <c r="D400" s="14">
        <v>104612</v>
      </c>
      <c r="E400" s="14">
        <v>86452</v>
      </c>
      <c r="F400" s="14">
        <v>560480</v>
      </c>
      <c r="G400" s="14">
        <v>131231</v>
      </c>
      <c r="H400" s="14">
        <v>250662</v>
      </c>
      <c r="J400" s="14">
        <v>691837</v>
      </c>
      <c r="K400" s="14">
        <v>106984</v>
      </c>
      <c r="L400" s="14">
        <v>95817</v>
      </c>
      <c r="M400" s="14">
        <v>556567</v>
      </c>
      <c r="N400" s="14">
        <v>145000</v>
      </c>
      <c r="O400" s="14">
        <v>259590</v>
      </c>
      <c r="Q400" s="3">
        <f t="shared" si="145"/>
        <v>41.969000000000001</v>
      </c>
      <c r="R400" s="3">
        <f t="shared" si="146"/>
        <v>-2.3719999999999999</v>
      </c>
      <c r="S400" s="3">
        <f t="shared" si="147"/>
        <v>-9.3650000000000002</v>
      </c>
      <c r="T400" s="3">
        <f t="shared" si="148"/>
        <v>-13.769</v>
      </c>
      <c r="V400" s="3">
        <f t="shared" si="149"/>
        <v>3.9129999999999998</v>
      </c>
      <c r="W400" s="3">
        <f t="shared" si="150"/>
        <v>-8.9280000000000008</v>
      </c>
      <c r="Y400" s="3">
        <f t="shared" si="151"/>
        <v>16.463000000000001</v>
      </c>
      <c r="Z400" s="3">
        <f t="shared" si="152"/>
        <v>-5.0150000000000006</v>
      </c>
      <c r="AA400" s="3">
        <f t="shared" si="153"/>
        <v>11.448</v>
      </c>
      <c r="AC400" s="2" t="str">
        <f t="shared" si="154"/>
        <v>2009-04</v>
      </c>
      <c r="AD400" s="9">
        <f t="shared" si="155"/>
        <v>196.02</v>
      </c>
      <c r="AE400" s="9">
        <f t="shared" si="156"/>
        <v>78.402999999999992</v>
      </c>
      <c r="AF400" s="9">
        <f t="shared" si="157"/>
        <v>274.423</v>
      </c>
      <c r="AG400" s="9"/>
      <c r="AH400" s="10">
        <v>39904</v>
      </c>
      <c r="AI400" s="9">
        <f t="shared" si="158"/>
        <v>268.30700000000002</v>
      </c>
      <c r="AJ400" s="9">
        <f t="shared" si="159"/>
        <v>-148.29199999999997</v>
      </c>
      <c r="AK400" s="9">
        <f t="shared" si="160"/>
        <v>44.876999999999995</v>
      </c>
      <c r="AL400" s="9">
        <f t="shared" si="161"/>
        <v>31.127999999999993</v>
      </c>
      <c r="AM400" s="12">
        <f t="shared" si="162"/>
        <v>6.1159999999999854</v>
      </c>
    </row>
    <row r="401" spans="1:39" x14ac:dyDescent="0.25">
      <c r="A401">
        <v>99996</v>
      </c>
      <c r="B401" t="s">
        <v>470</v>
      </c>
      <c r="C401" s="14">
        <v>786884</v>
      </c>
      <c r="D401" s="14">
        <v>91436</v>
      </c>
      <c r="E401" s="14">
        <v>103312</v>
      </c>
      <c r="F401" s="14">
        <v>566651</v>
      </c>
      <c r="G401" s="14">
        <v>144370</v>
      </c>
      <c r="H401" s="14">
        <v>255645</v>
      </c>
      <c r="J401" s="14">
        <v>809460</v>
      </c>
      <c r="K401" s="14">
        <v>78295</v>
      </c>
      <c r="L401" s="14">
        <v>102493</v>
      </c>
      <c r="M401" s="14">
        <v>548768</v>
      </c>
      <c r="N401" s="14">
        <v>160421</v>
      </c>
      <c r="O401" s="14">
        <v>266456</v>
      </c>
      <c r="Q401" s="3">
        <f t="shared" si="145"/>
        <v>-22.576000000000001</v>
      </c>
      <c r="R401" s="3">
        <f t="shared" si="146"/>
        <v>13.141</v>
      </c>
      <c r="S401" s="3">
        <f t="shared" si="147"/>
        <v>0.81899999999999995</v>
      </c>
      <c r="T401" s="3">
        <f t="shared" si="148"/>
        <v>-16.050999999999998</v>
      </c>
      <c r="V401" s="3">
        <f t="shared" si="149"/>
        <v>17.882999999999999</v>
      </c>
      <c r="W401" s="3">
        <f t="shared" si="150"/>
        <v>-10.811</v>
      </c>
      <c r="Y401" s="3">
        <f t="shared" si="151"/>
        <v>-24.666999999999998</v>
      </c>
      <c r="Z401" s="3">
        <f t="shared" si="152"/>
        <v>7.0719999999999992</v>
      </c>
      <c r="AA401" s="3">
        <f t="shared" si="153"/>
        <v>-17.594999999999999</v>
      </c>
      <c r="AC401" s="2" t="str">
        <f t="shared" si="154"/>
        <v>2009-05</v>
      </c>
      <c r="AD401" s="9">
        <f t="shared" si="155"/>
        <v>94.376000000000005</v>
      </c>
      <c r="AE401" s="9">
        <f t="shared" si="156"/>
        <v>87.600999999999999</v>
      </c>
      <c r="AF401" s="9">
        <f t="shared" si="157"/>
        <v>181.97700000000003</v>
      </c>
      <c r="AG401" s="9"/>
      <c r="AH401" s="10">
        <v>39934</v>
      </c>
      <c r="AI401" s="9">
        <f t="shared" si="158"/>
        <v>243.941</v>
      </c>
      <c r="AJ401" s="9">
        <f t="shared" si="159"/>
        <v>-160.65700000000001</v>
      </c>
      <c r="AK401" s="9">
        <f t="shared" si="160"/>
        <v>-14.146000000000001</v>
      </c>
      <c r="AL401" s="9">
        <f t="shared" si="161"/>
        <v>25.237999999999996</v>
      </c>
      <c r="AM401" s="12">
        <f t="shared" si="162"/>
        <v>-61.96399999999997</v>
      </c>
    </row>
    <row r="402" spans="1:39" x14ac:dyDescent="0.25">
      <c r="A402">
        <v>99996</v>
      </c>
      <c r="B402" t="s">
        <v>471</v>
      </c>
      <c r="C402" s="14">
        <v>1256727</v>
      </c>
      <c r="D402" s="14">
        <v>102376</v>
      </c>
      <c r="E402" s="14">
        <v>107448</v>
      </c>
      <c r="F402" s="14">
        <v>574139</v>
      </c>
      <c r="G402" s="14">
        <v>192283</v>
      </c>
      <c r="H402" s="14">
        <v>292967</v>
      </c>
      <c r="J402" s="14">
        <v>1156228</v>
      </c>
      <c r="K402" s="14">
        <v>94499</v>
      </c>
      <c r="L402" s="14">
        <v>110309</v>
      </c>
      <c r="M402" s="14">
        <v>554259</v>
      </c>
      <c r="N402" s="14">
        <v>211797</v>
      </c>
      <c r="O402" s="14">
        <v>306882</v>
      </c>
      <c r="Q402" s="3">
        <f t="shared" si="145"/>
        <v>100.499</v>
      </c>
      <c r="R402" s="3">
        <f t="shared" si="146"/>
        <v>7.8769999999999998</v>
      </c>
      <c r="S402" s="3">
        <f t="shared" si="147"/>
        <v>-2.8610000000000002</v>
      </c>
      <c r="T402" s="3">
        <f t="shared" si="148"/>
        <v>-19.513999999999999</v>
      </c>
      <c r="V402" s="3">
        <f t="shared" si="149"/>
        <v>19.88</v>
      </c>
      <c r="W402" s="3">
        <f t="shared" si="150"/>
        <v>-13.914999999999999</v>
      </c>
      <c r="Y402" s="3">
        <f t="shared" si="151"/>
        <v>86.000999999999991</v>
      </c>
      <c r="Z402" s="3">
        <f t="shared" si="152"/>
        <v>5.9649999999999999</v>
      </c>
      <c r="AA402" s="3">
        <f t="shared" si="153"/>
        <v>91.96599999999998</v>
      </c>
      <c r="AC402" s="2" t="str">
        <f t="shared" si="154"/>
        <v>2009-06</v>
      </c>
      <c r="AD402" s="9">
        <f t="shared" si="155"/>
        <v>130.98899999999998</v>
      </c>
      <c r="AE402" s="9">
        <f t="shared" si="156"/>
        <v>93.820999999999998</v>
      </c>
      <c r="AF402" s="9">
        <f t="shared" si="157"/>
        <v>224.80999999999997</v>
      </c>
      <c r="AG402" s="9"/>
      <c r="AH402" s="10">
        <v>39965</v>
      </c>
      <c r="AI402" s="9">
        <f t="shared" si="158"/>
        <v>316.42899999999997</v>
      </c>
      <c r="AJ402" s="9">
        <f t="shared" si="159"/>
        <v>-182.13800000000001</v>
      </c>
      <c r="AK402" s="9">
        <f t="shared" si="160"/>
        <v>-21.692</v>
      </c>
      <c r="AL402" s="9">
        <f t="shared" si="161"/>
        <v>18.390000000000011</v>
      </c>
      <c r="AM402" s="12">
        <f t="shared" si="162"/>
        <v>-91.619</v>
      </c>
    </row>
    <row r="403" spans="1:39" x14ac:dyDescent="0.25">
      <c r="A403">
        <v>99996</v>
      </c>
      <c r="B403" t="s">
        <v>472</v>
      </c>
      <c r="C403" s="14">
        <v>942876</v>
      </c>
      <c r="D403" s="14">
        <v>73986</v>
      </c>
      <c r="E403" s="14">
        <v>90973</v>
      </c>
      <c r="F403" s="14">
        <v>541723</v>
      </c>
      <c r="G403" s="14">
        <v>182628</v>
      </c>
      <c r="H403" s="14">
        <v>255855</v>
      </c>
      <c r="J403" s="14">
        <v>911624</v>
      </c>
      <c r="K403" s="14">
        <v>78423</v>
      </c>
      <c r="L403" s="14">
        <v>101796</v>
      </c>
      <c r="M403" s="14">
        <v>511931</v>
      </c>
      <c r="N403" s="14">
        <v>196802</v>
      </c>
      <c r="O403" s="14">
        <v>270077</v>
      </c>
      <c r="Q403" s="3">
        <f t="shared" si="145"/>
        <v>31.251999999999999</v>
      </c>
      <c r="R403" s="3">
        <f t="shared" si="146"/>
        <v>-4.4370000000000003</v>
      </c>
      <c r="S403" s="3">
        <f t="shared" si="147"/>
        <v>-10.823</v>
      </c>
      <c r="T403" s="3">
        <f t="shared" si="148"/>
        <v>-14.173999999999999</v>
      </c>
      <c r="V403" s="3">
        <f t="shared" si="149"/>
        <v>29.792000000000002</v>
      </c>
      <c r="W403" s="3">
        <f t="shared" si="150"/>
        <v>-14.222</v>
      </c>
      <c r="Y403" s="3">
        <f t="shared" si="151"/>
        <v>1.8179999999999978</v>
      </c>
      <c r="Z403" s="3">
        <f t="shared" si="152"/>
        <v>15.570000000000002</v>
      </c>
      <c r="AA403" s="3">
        <f t="shared" si="153"/>
        <v>17.387999999999998</v>
      </c>
      <c r="AC403" s="2" t="str">
        <f t="shared" si="154"/>
        <v>2009-07</v>
      </c>
      <c r="AD403" s="9">
        <f t="shared" si="155"/>
        <v>129.471</v>
      </c>
      <c r="AE403" s="9">
        <f t="shared" si="156"/>
        <v>98.27500000000002</v>
      </c>
      <c r="AF403" s="9">
        <f t="shared" si="157"/>
        <v>227.74599999999998</v>
      </c>
      <c r="AG403" s="9"/>
      <c r="AH403" s="10">
        <v>39995</v>
      </c>
      <c r="AI403" s="9">
        <f t="shared" si="158"/>
        <v>313.66900000000004</v>
      </c>
      <c r="AJ403" s="9">
        <f t="shared" si="159"/>
        <v>-144.50899999999999</v>
      </c>
      <c r="AK403" s="9">
        <f t="shared" si="160"/>
        <v>-28.376999999999999</v>
      </c>
      <c r="AL403" s="9">
        <f t="shared" si="161"/>
        <v>-11.311999999999998</v>
      </c>
      <c r="AM403" s="12">
        <f t="shared" si="162"/>
        <v>-85.923000000000059</v>
      </c>
    </row>
    <row r="404" spans="1:39" x14ac:dyDescent="0.25">
      <c r="A404">
        <v>99996</v>
      </c>
      <c r="B404" t="s">
        <v>473</v>
      </c>
      <c r="C404" s="14">
        <v>1065820</v>
      </c>
      <c r="D404" s="14">
        <v>77437</v>
      </c>
      <c r="E404" s="14">
        <v>87650</v>
      </c>
      <c r="F404" s="14">
        <v>513106</v>
      </c>
      <c r="G404" s="14">
        <v>139138</v>
      </c>
      <c r="H404" s="14">
        <v>250641</v>
      </c>
      <c r="J404" s="14">
        <v>1037763</v>
      </c>
      <c r="K404" s="14">
        <v>72844</v>
      </c>
      <c r="L404" s="14">
        <v>93318</v>
      </c>
      <c r="M404" s="14">
        <v>500850</v>
      </c>
      <c r="N404" s="14">
        <v>129114</v>
      </c>
      <c r="O404" s="14">
        <v>263523</v>
      </c>
      <c r="Q404" s="3">
        <f t="shared" si="145"/>
        <v>28.056999999999999</v>
      </c>
      <c r="R404" s="3">
        <f t="shared" si="146"/>
        <v>4.593</v>
      </c>
      <c r="S404" s="3">
        <f t="shared" si="147"/>
        <v>-5.6680000000000001</v>
      </c>
      <c r="T404" s="3">
        <f t="shared" si="148"/>
        <v>10.023999999999999</v>
      </c>
      <c r="V404" s="3">
        <f t="shared" si="149"/>
        <v>12.256</v>
      </c>
      <c r="W404" s="3">
        <f t="shared" si="150"/>
        <v>-12.882</v>
      </c>
      <c r="Y404" s="3">
        <f t="shared" si="151"/>
        <v>37.006</v>
      </c>
      <c r="Z404" s="3">
        <f t="shared" si="152"/>
        <v>-0.62599999999999945</v>
      </c>
      <c r="AA404" s="3">
        <f t="shared" si="153"/>
        <v>36.380000000000003</v>
      </c>
      <c r="AC404" s="2" t="str">
        <f t="shared" si="154"/>
        <v>2009-08</v>
      </c>
      <c r="AD404" s="9">
        <f t="shared" si="155"/>
        <v>153.58799999999999</v>
      </c>
      <c r="AE404" s="9">
        <f t="shared" si="156"/>
        <v>95.780000000000015</v>
      </c>
      <c r="AF404" s="9">
        <f t="shared" si="157"/>
        <v>249.36799999999997</v>
      </c>
      <c r="AG404" s="9"/>
      <c r="AH404" s="10">
        <v>40026</v>
      </c>
      <c r="AI404" s="9">
        <f t="shared" si="158"/>
        <v>308.88900000000001</v>
      </c>
      <c r="AJ404" s="9">
        <f t="shared" si="159"/>
        <v>-115.727</v>
      </c>
      <c r="AK404" s="9">
        <f t="shared" si="160"/>
        <v>-20.915000000000003</v>
      </c>
      <c r="AL404" s="9">
        <f t="shared" si="161"/>
        <v>-18.658999999999999</v>
      </c>
      <c r="AM404" s="12">
        <f t="shared" si="162"/>
        <v>-59.521000000000043</v>
      </c>
    </row>
    <row r="405" spans="1:39" x14ac:dyDescent="0.25">
      <c r="A405">
        <v>99996</v>
      </c>
      <c r="B405" t="s">
        <v>474</v>
      </c>
      <c r="C405" s="14">
        <v>1108117</v>
      </c>
      <c r="D405" s="14">
        <v>73910</v>
      </c>
      <c r="E405" s="14">
        <v>94617</v>
      </c>
      <c r="F405" s="14">
        <v>538439</v>
      </c>
      <c r="G405" s="14">
        <v>202912</v>
      </c>
      <c r="H405" s="14">
        <v>287316</v>
      </c>
      <c r="J405" s="14">
        <v>1063432</v>
      </c>
      <c r="K405" s="14">
        <v>75537</v>
      </c>
      <c r="L405" s="14">
        <v>97132</v>
      </c>
      <c r="M405" s="14">
        <v>522767</v>
      </c>
      <c r="N405" s="14">
        <v>218442</v>
      </c>
      <c r="O405" s="14">
        <v>286786</v>
      </c>
      <c r="Q405" s="3">
        <f t="shared" si="145"/>
        <v>44.685000000000002</v>
      </c>
      <c r="R405" s="3">
        <f t="shared" si="146"/>
        <v>-1.627</v>
      </c>
      <c r="S405" s="3">
        <f t="shared" si="147"/>
        <v>-2.5150000000000001</v>
      </c>
      <c r="T405" s="3">
        <f t="shared" si="148"/>
        <v>-15.53</v>
      </c>
      <c r="V405" s="3">
        <f t="shared" si="149"/>
        <v>15.672000000000001</v>
      </c>
      <c r="W405" s="3">
        <f t="shared" si="150"/>
        <v>0.53</v>
      </c>
      <c r="Y405" s="3">
        <f t="shared" si="151"/>
        <v>25.012999999999998</v>
      </c>
      <c r="Z405" s="3">
        <f t="shared" si="152"/>
        <v>16.202000000000002</v>
      </c>
      <c r="AA405" s="3">
        <f t="shared" si="153"/>
        <v>41.215000000000003</v>
      </c>
      <c r="AC405" s="2" t="str">
        <f t="shared" si="154"/>
        <v>2009-09</v>
      </c>
      <c r="AD405" s="9">
        <f t="shared" si="155"/>
        <v>128.542</v>
      </c>
      <c r="AE405" s="9">
        <f t="shared" si="156"/>
        <v>102.94200000000001</v>
      </c>
      <c r="AF405" s="9">
        <f t="shared" si="157"/>
        <v>231.48399999999998</v>
      </c>
      <c r="AG405" s="9"/>
      <c r="AH405" s="10">
        <v>40057</v>
      </c>
      <c r="AI405" s="9">
        <f t="shared" si="158"/>
        <v>333.45800000000003</v>
      </c>
      <c r="AJ405" s="9">
        <f t="shared" si="159"/>
        <v>-121.85100000000003</v>
      </c>
      <c r="AK405" s="9">
        <f t="shared" si="160"/>
        <v>-14.990999999999996</v>
      </c>
      <c r="AL405" s="9">
        <f t="shared" si="161"/>
        <v>-68.073999999999984</v>
      </c>
      <c r="AM405" s="12">
        <f t="shared" si="162"/>
        <v>-101.97400000000005</v>
      </c>
    </row>
    <row r="406" spans="1:39" x14ac:dyDescent="0.25">
      <c r="A406">
        <v>99996</v>
      </c>
      <c r="B406" t="s">
        <v>475</v>
      </c>
      <c r="C406" s="14">
        <v>1215277</v>
      </c>
      <c r="D406" s="14">
        <v>73649</v>
      </c>
      <c r="E406" s="14">
        <v>100306</v>
      </c>
      <c r="F406" s="14">
        <v>603120</v>
      </c>
      <c r="G406" s="14">
        <v>232592</v>
      </c>
      <c r="H406" s="14">
        <v>322827</v>
      </c>
      <c r="J406" s="14">
        <v>1176367</v>
      </c>
      <c r="K406" s="14">
        <v>79007</v>
      </c>
      <c r="L406" s="14">
        <v>101150</v>
      </c>
      <c r="M406" s="14">
        <v>592822</v>
      </c>
      <c r="N406" s="14">
        <v>251956</v>
      </c>
      <c r="O406" s="14">
        <v>327154</v>
      </c>
      <c r="Q406" s="3">
        <f t="shared" si="145"/>
        <v>38.909999999999997</v>
      </c>
      <c r="R406" s="3">
        <f t="shared" si="146"/>
        <v>-5.3579999999999997</v>
      </c>
      <c r="S406" s="3">
        <f t="shared" si="147"/>
        <v>-0.84399999999999997</v>
      </c>
      <c r="T406" s="3">
        <f t="shared" si="148"/>
        <v>-19.364000000000001</v>
      </c>
      <c r="V406" s="3">
        <f t="shared" si="149"/>
        <v>10.298</v>
      </c>
      <c r="W406" s="3">
        <f t="shared" si="150"/>
        <v>-4.327</v>
      </c>
      <c r="Y406" s="3">
        <f t="shared" si="151"/>
        <v>13.343999999999998</v>
      </c>
      <c r="Z406" s="3">
        <f t="shared" si="152"/>
        <v>5.9710000000000001</v>
      </c>
      <c r="AA406" s="3">
        <f t="shared" si="153"/>
        <v>19.314999999999998</v>
      </c>
      <c r="AC406" s="2" t="str">
        <f t="shared" si="154"/>
        <v>2009-10</v>
      </c>
      <c r="AD406" s="9">
        <f t="shared" si="155"/>
        <v>166.43899999999999</v>
      </c>
      <c r="AE406" s="9">
        <f t="shared" si="156"/>
        <v>93.43</v>
      </c>
      <c r="AF406" s="9">
        <f t="shared" si="157"/>
        <v>259.86899999999997</v>
      </c>
      <c r="AG406" s="9"/>
      <c r="AH406" s="10">
        <v>40087</v>
      </c>
      <c r="AI406" s="9">
        <f t="shared" si="158"/>
        <v>339.49599999999998</v>
      </c>
      <c r="AJ406" s="9">
        <f t="shared" si="159"/>
        <v>-76.992999999999995</v>
      </c>
      <c r="AK406" s="9">
        <f t="shared" si="160"/>
        <v>-2.7709999999999999</v>
      </c>
      <c r="AL406" s="9">
        <f t="shared" si="161"/>
        <v>-93.293000000000006</v>
      </c>
      <c r="AM406" s="12">
        <f t="shared" si="162"/>
        <v>-79.62700000000001</v>
      </c>
    </row>
    <row r="407" spans="1:39" x14ac:dyDescent="0.25">
      <c r="A407">
        <v>99996</v>
      </c>
      <c r="B407" t="s">
        <v>476</v>
      </c>
      <c r="C407" s="14">
        <v>1194248</v>
      </c>
      <c r="D407" s="14">
        <v>66894</v>
      </c>
      <c r="E407" s="14">
        <v>82303</v>
      </c>
      <c r="F407" s="14">
        <v>551815</v>
      </c>
      <c r="G407" s="14">
        <v>198859</v>
      </c>
      <c r="H407" s="14">
        <v>283529</v>
      </c>
      <c r="J407" s="14">
        <v>1076368</v>
      </c>
      <c r="K407" s="14">
        <v>60986</v>
      </c>
      <c r="L407" s="14">
        <v>86867</v>
      </c>
      <c r="M407" s="14">
        <v>542153</v>
      </c>
      <c r="N407" s="14">
        <v>203965</v>
      </c>
      <c r="O407" s="14">
        <v>280946</v>
      </c>
      <c r="Q407" s="3">
        <f t="shared" si="145"/>
        <v>117.88</v>
      </c>
      <c r="R407" s="3">
        <f t="shared" si="146"/>
        <v>5.9080000000000004</v>
      </c>
      <c r="S407" s="3">
        <f t="shared" si="147"/>
        <v>-4.5640000000000001</v>
      </c>
      <c r="T407" s="3">
        <f t="shared" si="148"/>
        <v>-5.1059999999999999</v>
      </c>
      <c r="V407" s="3">
        <f t="shared" si="149"/>
        <v>9.6620000000000008</v>
      </c>
      <c r="W407" s="3">
        <f t="shared" si="150"/>
        <v>2.5830000000000002</v>
      </c>
      <c r="Y407" s="3">
        <f t="shared" si="151"/>
        <v>114.11799999999999</v>
      </c>
      <c r="Z407" s="3">
        <f t="shared" si="152"/>
        <v>12.245000000000001</v>
      </c>
      <c r="AA407" s="3">
        <f t="shared" si="153"/>
        <v>126.363</v>
      </c>
      <c r="AC407" s="2" t="str">
        <f t="shared" si="154"/>
        <v>2009-11</v>
      </c>
      <c r="AD407" s="9">
        <f t="shared" si="155"/>
        <v>334.56999999999994</v>
      </c>
      <c r="AE407" s="9">
        <f t="shared" si="156"/>
        <v>79.458000000000013</v>
      </c>
      <c r="AF407" s="9">
        <f t="shared" si="157"/>
        <v>414.02799999999996</v>
      </c>
      <c r="AG407" s="9"/>
      <c r="AH407" s="10">
        <v>40118</v>
      </c>
      <c r="AI407" s="9">
        <f t="shared" si="158"/>
        <v>483.15999999999997</v>
      </c>
      <c r="AJ407" s="9">
        <f t="shared" si="159"/>
        <v>-48.852999999999994</v>
      </c>
      <c r="AK407" s="9">
        <f t="shared" si="160"/>
        <v>8.8800000000000043</v>
      </c>
      <c r="AL407" s="9">
        <f t="shared" si="161"/>
        <v>-108.61699999999999</v>
      </c>
      <c r="AM407" s="12">
        <f t="shared" si="162"/>
        <v>-69.132000000000005</v>
      </c>
    </row>
    <row r="408" spans="1:39" x14ac:dyDescent="0.25">
      <c r="A408">
        <v>99996</v>
      </c>
      <c r="B408" t="s">
        <v>477</v>
      </c>
      <c r="C408" s="14">
        <v>1062219</v>
      </c>
      <c r="D408" s="14">
        <v>61619</v>
      </c>
      <c r="E408" s="14">
        <v>77468</v>
      </c>
      <c r="F408" s="14">
        <v>557487</v>
      </c>
      <c r="G408" s="14">
        <v>182224</v>
      </c>
      <c r="H408" s="14">
        <v>270790</v>
      </c>
      <c r="J408" s="14">
        <v>992275</v>
      </c>
      <c r="K408" s="14">
        <v>61570</v>
      </c>
      <c r="L408" s="14">
        <v>85411</v>
      </c>
      <c r="M408" s="14">
        <v>537340</v>
      </c>
      <c r="N408" s="14">
        <v>199613</v>
      </c>
      <c r="O408" s="14">
        <v>272301</v>
      </c>
      <c r="Q408" s="3">
        <f t="shared" si="145"/>
        <v>69.944000000000003</v>
      </c>
      <c r="R408" s="3">
        <f t="shared" si="146"/>
        <v>4.9000000000000002E-2</v>
      </c>
      <c r="S408" s="3">
        <f t="shared" si="147"/>
        <v>-7.9429999999999996</v>
      </c>
      <c r="T408" s="3">
        <f t="shared" si="148"/>
        <v>-17.388999999999999</v>
      </c>
      <c r="V408" s="3">
        <f t="shared" si="149"/>
        <v>20.146999999999998</v>
      </c>
      <c r="W408" s="3">
        <f t="shared" si="150"/>
        <v>-1.5109999999999999</v>
      </c>
      <c r="Y408" s="3">
        <f t="shared" si="151"/>
        <v>44.661000000000016</v>
      </c>
      <c r="Z408" s="3">
        <f t="shared" si="152"/>
        <v>18.635999999999999</v>
      </c>
      <c r="AA408" s="3">
        <f t="shared" si="153"/>
        <v>63.297000000000018</v>
      </c>
      <c r="AC408" s="2" t="str">
        <f t="shared" si="154"/>
        <v>2009-12</v>
      </c>
      <c r="AD408" s="9">
        <f t="shared" si="155"/>
        <v>348.03299999999996</v>
      </c>
      <c r="AE408" s="9">
        <f t="shared" si="156"/>
        <v>93.513000000000005</v>
      </c>
      <c r="AF408" s="9">
        <f t="shared" si="157"/>
        <v>441.54599999999999</v>
      </c>
      <c r="AG408" s="9"/>
      <c r="AH408" s="10">
        <v>40148</v>
      </c>
      <c r="AI408" s="9">
        <f t="shared" si="158"/>
        <v>538.52</v>
      </c>
      <c r="AJ408" s="9">
        <f t="shared" si="159"/>
        <v>-11.492999999999999</v>
      </c>
      <c r="AK408" s="9">
        <f t="shared" si="160"/>
        <v>-40.744999999999997</v>
      </c>
      <c r="AL408" s="9">
        <f t="shared" si="161"/>
        <v>-138.249</v>
      </c>
      <c r="AM408" s="12">
        <f t="shared" si="162"/>
        <v>-96.97399999999999</v>
      </c>
    </row>
    <row r="409" spans="1:39" x14ac:dyDescent="0.25">
      <c r="A409">
        <v>99996</v>
      </c>
      <c r="B409" t="s">
        <v>478</v>
      </c>
      <c r="C409" s="14">
        <v>1042797</v>
      </c>
      <c r="D409" s="14">
        <v>55870</v>
      </c>
      <c r="E409" s="14">
        <v>66562</v>
      </c>
      <c r="F409" s="14">
        <v>542794</v>
      </c>
      <c r="G409" s="14">
        <v>311765</v>
      </c>
      <c r="H409" s="14">
        <v>281620</v>
      </c>
      <c r="J409" s="14">
        <v>981405</v>
      </c>
      <c r="K409" s="14">
        <v>60904</v>
      </c>
      <c r="L409" s="14">
        <v>91128</v>
      </c>
      <c r="M409" s="14">
        <v>538457</v>
      </c>
      <c r="N409" s="14">
        <v>323674</v>
      </c>
      <c r="O409" s="14">
        <v>286748</v>
      </c>
      <c r="Q409" s="3">
        <f t="shared" si="145"/>
        <v>61.392000000000003</v>
      </c>
      <c r="R409" s="3">
        <f t="shared" si="146"/>
        <v>-5.0339999999999998</v>
      </c>
      <c r="S409" s="3">
        <f t="shared" si="147"/>
        <v>-24.565999999999999</v>
      </c>
      <c r="T409" s="3">
        <f t="shared" si="148"/>
        <v>-11.909000000000001</v>
      </c>
      <c r="V409" s="3">
        <f t="shared" si="149"/>
        <v>4.3369999999999997</v>
      </c>
      <c r="W409" s="3">
        <f t="shared" si="150"/>
        <v>-5.1280000000000001</v>
      </c>
      <c r="Y409" s="3">
        <f t="shared" si="151"/>
        <v>19.883000000000003</v>
      </c>
      <c r="Z409" s="3">
        <f t="shared" si="152"/>
        <v>-0.79100000000000037</v>
      </c>
      <c r="AA409" s="3">
        <f t="shared" si="153"/>
        <v>19.092000000000002</v>
      </c>
      <c r="AC409" s="2" t="str">
        <f t="shared" si="154"/>
        <v>2010-01</v>
      </c>
      <c r="AD409" s="9">
        <f t="shared" si="155"/>
        <v>406.89299999999997</v>
      </c>
      <c r="AE409" s="9">
        <f t="shared" si="156"/>
        <v>86.830000000000013</v>
      </c>
      <c r="AF409" s="9">
        <f t="shared" si="157"/>
        <v>493.72299999999996</v>
      </c>
      <c r="AG409" s="9"/>
      <c r="AH409" s="10">
        <v>40179</v>
      </c>
      <c r="AI409" s="9">
        <f t="shared" si="158"/>
        <v>588.98800000000006</v>
      </c>
      <c r="AJ409" s="9">
        <f t="shared" si="159"/>
        <v>-0.89099999999999913</v>
      </c>
      <c r="AK409" s="9">
        <f t="shared" si="160"/>
        <v>-57.965999999999994</v>
      </c>
      <c r="AL409" s="9">
        <f t="shared" si="161"/>
        <v>-123.23799999999999</v>
      </c>
      <c r="AM409" s="12">
        <f t="shared" si="162"/>
        <v>-95.2650000000001</v>
      </c>
    </row>
    <row r="410" spans="1:39" x14ac:dyDescent="0.25">
      <c r="A410">
        <v>99996</v>
      </c>
      <c r="B410" s="20" t="s">
        <v>480</v>
      </c>
      <c r="C410" s="14">
        <v>1213145</v>
      </c>
      <c r="D410" s="14">
        <v>64370</v>
      </c>
      <c r="E410" s="14">
        <v>63737</v>
      </c>
      <c r="F410" s="14">
        <v>558397</v>
      </c>
      <c r="G410" s="14">
        <v>352540</v>
      </c>
      <c r="H410" s="14">
        <v>266509</v>
      </c>
      <c r="J410" s="14">
        <v>1164943</v>
      </c>
      <c r="K410" s="14">
        <v>62191</v>
      </c>
      <c r="L410" s="14">
        <v>75827</v>
      </c>
      <c r="M410" s="14">
        <v>545431</v>
      </c>
      <c r="N410" s="14">
        <v>356564</v>
      </c>
      <c r="O410" s="14">
        <v>267915</v>
      </c>
      <c r="Q410" s="3">
        <f t="shared" ref="Q410:Q421" si="163">(C410-J410)/1000</f>
        <v>48.201999999999998</v>
      </c>
      <c r="R410" s="3">
        <f t="shared" ref="R410:R421" si="164">(D410-K410)/1000</f>
        <v>2.1789999999999998</v>
      </c>
      <c r="S410" s="3">
        <f t="shared" ref="S410:S421" si="165">(E410-L410)/1000</f>
        <v>-12.09</v>
      </c>
      <c r="T410" s="3">
        <f t="shared" ref="T410:T421" si="166">(G410-N410)/1000</f>
        <v>-4.024</v>
      </c>
      <c r="V410" s="3">
        <f t="shared" ref="V410:V421" si="167">(F410-M410)/1000</f>
        <v>12.965999999999999</v>
      </c>
      <c r="W410" s="3">
        <f t="shared" ref="W410:W421" si="168">(H410-O410)/1000</f>
        <v>-1.4059999999999999</v>
      </c>
      <c r="Y410" s="3">
        <f t="shared" ref="Y410:Y421" si="169">SUM(Q410:T410)</f>
        <v>34.266999999999996</v>
      </c>
      <c r="Z410" s="3">
        <f t="shared" ref="Z410:Z421" si="170">V410+W410</f>
        <v>11.559999999999999</v>
      </c>
      <c r="AA410" s="3">
        <f t="shared" ref="AA410:AA421" si="171">SUM(Q410:W410)</f>
        <v>45.826999999999998</v>
      </c>
      <c r="AC410" s="2" t="str">
        <f t="shared" ref="AC410:AC421" si="172">B410</f>
        <v>2010-02</v>
      </c>
      <c r="AD410" s="9">
        <f t="shared" ref="AD410:AD421" si="173">SUM(Y399:Y410)</f>
        <v>414.50799999999998</v>
      </c>
      <c r="AE410" s="9">
        <f t="shared" ref="AE410:AE421" si="174">SUM(Z399:Z410)</f>
        <v>100.95600000000002</v>
      </c>
      <c r="AF410" s="9">
        <f t="shared" ref="AF410:AF421" si="175">SUM(AA399:AA410)</f>
        <v>515.46399999999994</v>
      </c>
      <c r="AH410" s="10">
        <v>40210</v>
      </c>
      <c r="AI410" s="9">
        <f t="shared" ref="AI410:AI421" si="176">SUM(Q399:Q410)</f>
        <v>615.45500000000004</v>
      </c>
      <c r="AJ410" s="9">
        <f t="shared" ref="AJ410:AJ421" si="177">SUM(R399:R410)</f>
        <v>-0.74699999999999989</v>
      </c>
      <c r="AK410" s="9">
        <f t="shared" ref="AK410:AK421" si="178">SUM(S399:S410)</f>
        <v>-73.050000000000011</v>
      </c>
      <c r="AL410" s="9">
        <f t="shared" ref="AL410:AL421" si="179">SUM(T399:T410)</f>
        <v>-127.14999999999999</v>
      </c>
      <c r="AM410" s="12">
        <f t="shared" ref="AM410:AM421" si="180">AF410-AI410</f>
        <v>-99.991000000000099</v>
      </c>
    </row>
    <row r="411" spans="1:39" x14ac:dyDescent="0.25">
      <c r="A411">
        <v>99996</v>
      </c>
      <c r="B411" s="20" t="s">
        <v>481</v>
      </c>
      <c r="C411" s="14">
        <v>1545948</v>
      </c>
      <c r="D411" s="14">
        <v>80952</v>
      </c>
      <c r="E411" s="14">
        <v>103099</v>
      </c>
      <c r="F411" s="14">
        <v>578376</v>
      </c>
      <c r="G411" s="14">
        <v>465599</v>
      </c>
      <c r="H411" s="14">
        <v>305185</v>
      </c>
      <c r="J411" s="14">
        <v>1438300</v>
      </c>
      <c r="K411" s="14">
        <v>60370</v>
      </c>
      <c r="L411" s="14">
        <v>87114</v>
      </c>
      <c r="M411" s="14">
        <v>566288</v>
      </c>
      <c r="N411" s="14">
        <v>480678</v>
      </c>
      <c r="O411" s="14">
        <v>308004</v>
      </c>
      <c r="Q411" s="3">
        <f t="shared" si="163"/>
        <v>107.648</v>
      </c>
      <c r="R411" s="3">
        <f t="shared" si="164"/>
        <v>20.582000000000001</v>
      </c>
      <c r="S411" s="3">
        <f t="shared" si="165"/>
        <v>15.984999999999999</v>
      </c>
      <c r="T411" s="3">
        <f t="shared" si="166"/>
        <v>-15.079000000000001</v>
      </c>
      <c r="V411" s="3">
        <f t="shared" si="167"/>
        <v>12.087999999999999</v>
      </c>
      <c r="W411" s="3">
        <f t="shared" si="168"/>
        <v>-2.819</v>
      </c>
      <c r="Y411" s="3">
        <f t="shared" si="169"/>
        <v>129.13599999999997</v>
      </c>
      <c r="Z411" s="3">
        <f t="shared" si="170"/>
        <v>9.2689999999999984</v>
      </c>
      <c r="AA411" s="3">
        <f t="shared" si="171"/>
        <v>138.40499999999997</v>
      </c>
      <c r="AC411" s="2" t="str">
        <f t="shared" si="172"/>
        <v>2010-03</v>
      </c>
      <c r="AD411" s="9">
        <f t="shared" si="173"/>
        <v>497.04299999999995</v>
      </c>
      <c r="AE411" s="9">
        <f t="shared" si="174"/>
        <v>96.058000000000021</v>
      </c>
      <c r="AF411" s="9">
        <f t="shared" si="175"/>
        <v>593.101</v>
      </c>
      <c r="AH411" s="10">
        <v>40238</v>
      </c>
      <c r="AI411" s="9">
        <f t="shared" si="176"/>
        <v>667.86200000000008</v>
      </c>
      <c r="AJ411" s="9">
        <f t="shared" si="177"/>
        <v>35.501000000000005</v>
      </c>
      <c r="AK411" s="9">
        <f t="shared" si="178"/>
        <v>-64.435000000000002</v>
      </c>
      <c r="AL411" s="9">
        <f t="shared" si="179"/>
        <v>-141.88499999999999</v>
      </c>
      <c r="AM411" s="12">
        <f t="shared" si="180"/>
        <v>-74.761000000000081</v>
      </c>
    </row>
    <row r="412" spans="1:39" x14ac:dyDescent="0.25">
      <c r="A412">
        <v>99996</v>
      </c>
      <c r="B412" s="20" t="s">
        <v>482</v>
      </c>
      <c r="C412" s="14">
        <v>1249997</v>
      </c>
      <c r="D412" s="14">
        <v>76225</v>
      </c>
      <c r="E412" s="14">
        <v>87008</v>
      </c>
      <c r="F412" s="14">
        <v>584772</v>
      </c>
      <c r="G412" s="14">
        <v>403682</v>
      </c>
      <c r="H412" s="14">
        <v>309425</v>
      </c>
      <c r="J412" s="14">
        <v>1172806</v>
      </c>
      <c r="K412" s="14">
        <v>65973</v>
      </c>
      <c r="L412" s="14">
        <v>77018</v>
      </c>
      <c r="M412" s="14">
        <v>574995</v>
      </c>
      <c r="N412" s="14">
        <v>422214</v>
      </c>
      <c r="O412" s="14">
        <v>322760</v>
      </c>
      <c r="Q412" s="3">
        <f t="shared" si="163"/>
        <v>77.191000000000003</v>
      </c>
      <c r="R412" s="3">
        <f t="shared" si="164"/>
        <v>10.252000000000001</v>
      </c>
      <c r="S412" s="3">
        <f t="shared" si="165"/>
        <v>9.99</v>
      </c>
      <c r="T412" s="3">
        <f t="shared" si="166"/>
        <v>-18.532</v>
      </c>
      <c r="V412" s="3">
        <f t="shared" si="167"/>
        <v>9.7769999999999992</v>
      </c>
      <c r="W412" s="3">
        <f t="shared" si="168"/>
        <v>-13.335000000000001</v>
      </c>
      <c r="Y412" s="3">
        <f t="shared" si="169"/>
        <v>78.900999999999996</v>
      </c>
      <c r="Z412" s="3">
        <f t="shared" si="170"/>
        <v>-3.5580000000000016</v>
      </c>
      <c r="AA412" s="3">
        <f t="shared" si="171"/>
        <v>75.342999999999989</v>
      </c>
      <c r="AC412" s="2" t="str">
        <f t="shared" si="172"/>
        <v>2010-04</v>
      </c>
      <c r="AD412" s="9">
        <f t="shared" si="173"/>
        <v>559.48099999999988</v>
      </c>
      <c r="AE412" s="9">
        <f t="shared" si="174"/>
        <v>97.515000000000001</v>
      </c>
      <c r="AF412" s="9">
        <f t="shared" si="175"/>
        <v>656.99599999999998</v>
      </c>
      <c r="AH412" s="10">
        <v>40269</v>
      </c>
      <c r="AI412" s="9">
        <f t="shared" si="176"/>
        <v>703.08400000000006</v>
      </c>
      <c r="AJ412" s="9">
        <f t="shared" si="177"/>
        <v>48.125000000000007</v>
      </c>
      <c r="AK412" s="9">
        <f t="shared" si="178"/>
        <v>-45.080000000000005</v>
      </c>
      <c r="AL412" s="9">
        <f t="shared" si="179"/>
        <v>-146.648</v>
      </c>
      <c r="AM412" s="12">
        <f t="shared" si="180"/>
        <v>-46.088000000000079</v>
      </c>
    </row>
    <row r="413" spans="1:39" x14ac:dyDescent="0.25">
      <c r="A413">
        <v>99996</v>
      </c>
      <c r="B413" s="20" t="s">
        <v>483</v>
      </c>
      <c r="C413" s="14">
        <v>1430880</v>
      </c>
      <c r="D413" s="14">
        <v>84923</v>
      </c>
      <c r="E413" s="14">
        <v>71198</v>
      </c>
      <c r="F413" s="14">
        <v>734544</v>
      </c>
      <c r="G413" s="14">
        <v>321860</v>
      </c>
      <c r="H413" s="14">
        <v>353188</v>
      </c>
      <c r="J413" s="14">
        <v>1415763</v>
      </c>
      <c r="K413" s="14">
        <v>62553</v>
      </c>
      <c r="L413" s="14">
        <v>80353</v>
      </c>
      <c r="M413" s="14">
        <v>734548</v>
      </c>
      <c r="N413" s="14">
        <v>309360</v>
      </c>
      <c r="O413" s="14">
        <v>363159</v>
      </c>
      <c r="Q413" s="3">
        <f t="shared" si="163"/>
        <v>15.117000000000001</v>
      </c>
      <c r="R413" s="3">
        <f t="shared" si="164"/>
        <v>22.37</v>
      </c>
      <c r="S413" s="3">
        <f t="shared" si="165"/>
        <v>-9.1549999999999994</v>
      </c>
      <c r="T413" s="3">
        <f t="shared" si="166"/>
        <v>12.5</v>
      </c>
      <c r="V413" s="3">
        <f t="shared" si="167"/>
        <v>-4.0000000000000001E-3</v>
      </c>
      <c r="W413" s="3">
        <f t="shared" si="168"/>
        <v>-9.9710000000000001</v>
      </c>
      <c r="Y413" s="3">
        <f t="shared" si="169"/>
        <v>40.832000000000001</v>
      </c>
      <c r="Z413" s="3">
        <f t="shared" si="170"/>
        <v>-9.9749999999999996</v>
      </c>
      <c r="AA413" s="3">
        <f t="shared" si="171"/>
        <v>30.857000000000003</v>
      </c>
      <c r="AC413" s="2" t="str">
        <f t="shared" si="172"/>
        <v>2010-05</v>
      </c>
      <c r="AD413" s="9">
        <f t="shared" si="173"/>
        <v>624.9799999999999</v>
      </c>
      <c r="AE413" s="9">
        <f t="shared" si="174"/>
        <v>80.468000000000004</v>
      </c>
      <c r="AF413" s="9">
        <f t="shared" si="175"/>
        <v>705.44799999999987</v>
      </c>
      <c r="AH413" s="10">
        <v>40299</v>
      </c>
      <c r="AI413" s="9">
        <f t="shared" si="176"/>
        <v>740.77700000000004</v>
      </c>
      <c r="AJ413" s="9">
        <f t="shared" si="177"/>
        <v>57.353999999999999</v>
      </c>
      <c r="AK413" s="9">
        <f t="shared" si="178"/>
        <v>-55.054000000000009</v>
      </c>
      <c r="AL413" s="9">
        <f t="shared" si="179"/>
        <v>-118.09700000000004</v>
      </c>
      <c r="AM413" s="12">
        <f t="shared" si="180"/>
        <v>-35.329000000000178</v>
      </c>
    </row>
    <row r="414" spans="1:39" x14ac:dyDescent="0.25">
      <c r="A414">
        <v>99996</v>
      </c>
      <c r="B414" s="20" t="s">
        <v>484</v>
      </c>
      <c r="C414" s="14">
        <v>1321742</v>
      </c>
      <c r="D414" s="14">
        <v>100327</v>
      </c>
      <c r="E414" s="14">
        <v>69953</v>
      </c>
      <c r="F414" s="14">
        <v>593016</v>
      </c>
      <c r="G414" s="14">
        <v>279559</v>
      </c>
      <c r="H414" s="14">
        <v>303459</v>
      </c>
      <c r="J414" s="14">
        <v>1290014</v>
      </c>
      <c r="K414" s="14">
        <v>83528</v>
      </c>
      <c r="L414" s="14">
        <v>83851</v>
      </c>
      <c r="M414" s="14">
        <v>597242</v>
      </c>
      <c r="N414" s="14">
        <v>273915</v>
      </c>
      <c r="O414" s="14">
        <v>299363</v>
      </c>
      <c r="Q414" s="3">
        <f t="shared" si="163"/>
        <v>31.728000000000002</v>
      </c>
      <c r="R414" s="3">
        <f t="shared" si="164"/>
        <v>16.798999999999999</v>
      </c>
      <c r="S414" s="3">
        <f t="shared" si="165"/>
        <v>-13.898</v>
      </c>
      <c r="T414" s="3">
        <f t="shared" si="166"/>
        <v>5.6440000000000001</v>
      </c>
      <c r="V414" s="3">
        <f t="shared" si="167"/>
        <v>-4.226</v>
      </c>
      <c r="W414" s="3">
        <f t="shared" si="168"/>
        <v>4.0960000000000001</v>
      </c>
      <c r="Y414" s="3">
        <f t="shared" si="169"/>
        <v>40.273000000000003</v>
      </c>
      <c r="Z414" s="3">
        <f t="shared" si="170"/>
        <v>-0.12999999999999989</v>
      </c>
      <c r="AA414" s="3">
        <f t="shared" si="171"/>
        <v>40.143000000000001</v>
      </c>
      <c r="AC414" s="2" t="str">
        <f t="shared" si="172"/>
        <v>2010-06</v>
      </c>
      <c r="AD414" s="9">
        <f t="shared" si="173"/>
        <v>579.25200000000007</v>
      </c>
      <c r="AE414" s="9">
        <f t="shared" si="174"/>
        <v>74.373000000000005</v>
      </c>
      <c r="AF414" s="9">
        <f t="shared" si="175"/>
        <v>653.625</v>
      </c>
      <c r="AH414" s="10">
        <v>40330</v>
      </c>
      <c r="AI414" s="9">
        <f t="shared" si="176"/>
        <v>672.00599999999997</v>
      </c>
      <c r="AJ414" s="9">
        <f t="shared" si="177"/>
        <v>66.27600000000001</v>
      </c>
      <c r="AK414" s="9">
        <f t="shared" si="178"/>
        <v>-66.091000000000008</v>
      </c>
      <c r="AL414" s="9">
        <f t="shared" si="179"/>
        <v>-92.939000000000007</v>
      </c>
      <c r="AM414" s="12">
        <f t="shared" si="180"/>
        <v>-18.380999999999972</v>
      </c>
    </row>
    <row r="415" spans="1:39" x14ac:dyDescent="0.25">
      <c r="A415">
        <v>99996</v>
      </c>
      <c r="B415" s="20" t="s">
        <v>485</v>
      </c>
      <c r="C415" s="14">
        <v>1015248</v>
      </c>
      <c r="D415" s="14">
        <v>86349</v>
      </c>
      <c r="E415" s="14">
        <v>79720</v>
      </c>
      <c r="F415" s="14">
        <v>513047</v>
      </c>
      <c r="G415" s="14">
        <v>243079</v>
      </c>
      <c r="H415" s="14">
        <v>270001</v>
      </c>
      <c r="J415" s="14">
        <v>985090</v>
      </c>
      <c r="K415" s="14">
        <v>70191</v>
      </c>
      <c r="L415" s="14">
        <v>65866</v>
      </c>
      <c r="M415" s="14">
        <v>500343</v>
      </c>
      <c r="N415" s="14">
        <v>250319</v>
      </c>
      <c r="O415" s="14">
        <v>276178</v>
      </c>
      <c r="Q415" s="3">
        <f t="shared" si="163"/>
        <v>30.158000000000001</v>
      </c>
      <c r="R415" s="3">
        <f t="shared" si="164"/>
        <v>16.158000000000001</v>
      </c>
      <c r="S415" s="3">
        <f t="shared" si="165"/>
        <v>13.853999999999999</v>
      </c>
      <c r="T415" s="3">
        <f t="shared" si="166"/>
        <v>-7.24</v>
      </c>
      <c r="V415" s="3">
        <f t="shared" si="167"/>
        <v>12.704000000000001</v>
      </c>
      <c r="W415" s="3">
        <f t="shared" si="168"/>
        <v>-6.1769999999999996</v>
      </c>
      <c r="Y415" s="3">
        <f t="shared" si="169"/>
        <v>52.93</v>
      </c>
      <c r="Z415" s="3">
        <f t="shared" si="170"/>
        <v>6.527000000000001</v>
      </c>
      <c r="AA415" s="3">
        <f t="shared" si="171"/>
        <v>59.457000000000001</v>
      </c>
      <c r="AC415" s="2" t="str">
        <f t="shared" si="172"/>
        <v>2010-07</v>
      </c>
      <c r="AD415" s="9">
        <f t="shared" si="173"/>
        <v>630.36400000000003</v>
      </c>
      <c r="AE415" s="9">
        <f t="shared" si="174"/>
        <v>65.33</v>
      </c>
      <c r="AF415" s="9">
        <f t="shared" si="175"/>
        <v>695.69399999999996</v>
      </c>
      <c r="AH415" s="10">
        <v>40360</v>
      </c>
      <c r="AI415" s="9">
        <f t="shared" si="176"/>
        <v>670.91199999999992</v>
      </c>
      <c r="AJ415" s="9">
        <f t="shared" si="177"/>
        <v>86.870999999999995</v>
      </c>
      <c r="AK415" s="9">
        <f t="shared" si="178"/>
        <v>-41.414000000000001</v>
      </c>
      <c r="AL415" s="9">
        <f t="shared" si="179"/>
        <v>-86.004999999999981</v>
      </c>
      <c r="AM415" s="12">
        <f t="shared" si="180"/>
        <v>24.782000000000039</v>
      </c>
    </row>
    <row r="416" spans="1:39" x14ac:dyDescent="0.25">
      <c r="A416">
        <v>99996</v>
      </c>
      <c r="B416" s="20" t="s">
        <v>486</v>
      </c>
      <c r="C416" s="14">
        <v>1468613</v>
      </c>
      <c r="D416" s="14">
        <v>89544</v>
      </c>
      <c r="E416" s="14">
        <v>84312</v>
      </c>
      <c r="F416" s="14">
        <v>482125</v>
      </c>
      <c r="G416" s="14">
        <v>216284</v>
      </c>
      <c r="H416" s="14">
        <v>271358</v>
      </c>
      <c r="J416" s="14">
        <v>1350601</v>
      </c>
      <c r="K416" s="14">
        <v>86028</v>
      </c>
      <c r="L416" s="14">
        <v>74569</v>
      </c>
      <c r="M416" s="14">
        <v>477235</v>
      </c>
      <c r="N416" s="14">
        <v>233601</v>
      </c>
      <c r="O416" s="14">
        <v>264408</v>
      </c>
      <c r="Q416" s="3">
        <f t="shared" si="163"/>
        <v>118.012</v>
      </c>
      <c r="R416" s="3">
        <f t="shared" si="164"/>
        <v>3.516</v>
      </c>
      <c r="S416" s="3">
        <f t="shared" si="165"/>
        <v>9.7430000000000003</v>
      </c>
      <c r="T416" s="3">
        <f t="shared" si="166"/>
        <v>-17.317</v>
      </c>
      <c r="V416" s="3">
        <f t="shared" si="167"/>
        <v>4.8899999999999997</v>
      </c>
      <c r="W416" s="3">
        <f t="shared" si="168"/>
        <v>6.95</v>
      </c>
      <c r="Y416" s="3">
        <f t="shared" si="169"/>
        <v>113.95400000000001</v>
      </c>
      <c r="Z416" s="3">
        <f t="shared" si="170"/>
        <v>11.84</v>
      </c>
      <c r="AA416" s="3">
        <f t="shared" si="171"/>
        <v>125.79400000000001</v>
      </c>
      <c r="AC416" s="2" t="str">
        <f t="shared" si="172"/>
        <v>2010-08</v>
      </c>
      <c r="AD416" s="9">
        <f t="shared" si="173"/>
        <v>707.3119999999999</v>
      </c>
      <c r="AE416" s="9">
        <f t="shared" si="174"/>
        <v>77.796000000000006</v>
      </c>
      <c r="AF416" s="9">
        <f t="shared" si="175"/>
        <v>785.10799999999995</v>
      </c>
      <c r="AH416" s="10">
        <v>40391</v>
      </c>
      <c r="AI416" s="9">
        <f t="shared" si="176"/>
        <v>760.86699999999996</v>
      </c>
      <c r="AJ416" s="9">
        <f t="shared" si="177"/>
        <v>85.794000000000011</v>
      </c>
      <c r="AK416" s="9">
        <f t="shared" si="178"/>
        <v>-26.003000000000007</v>
      </c>
      <c r="AL416" s="9">
        <f t="shared" si="179"/>
        <v>-113.346</v>
      </c>
      <c r="AM416" s="12">
        <f t="shared" si="180"/>
        <v>24.240999999999985</v>
      </c>
    </row>
    <row r="417" spans="1:39" x14ac:dyDescent="0.25">
      <c r="A417">
        <v>99996</v>
      </c>
      <c r="B417" s="20" t="s">
        <v>487</v>
      </c>
      <c r="C417" s="14">
        <v>1433672</v>
      </c>
      <c r="D417" s="14">
        <v>112674</v>
      </c>
      <c r="E417" s="14">
        <v>112912</v>
      </c>
      <c r="F417" s="14">
        <v>493567</v>
      </c>
      <c r="G417" s="14">
        <v>309475</v>
      </c>
      <c r="H417" s="14">
        <v>298916</v>
      </c>
      <c r="J417" s="14">
        <v>1356521</v>
      </c>
      <c r="K417" s="14">
        <v>122144</v>
      </c>
      <c r="L417" s="14">
        <v>112976</v>
      </c>
      <c r="M417" s="14">
        <v>472927</v>
      </c>
      <c r="N417" s="14">
        <v>316820</v>
      </c>
      <c r="O417" s="14">
        <v>304377</v>
      </c>
      <c r="Q417" s="3">
        <f t="shared" si="163"/>
        <v>77.150999999999996</v>
      </c>
      <c r="R417" s="3">
        <f t="shared" si="164"/>
        <v>-9.4700000000000006</v>
      </c>
      <c r="S417" s="3">
        <f t="shared" si="165"/>
        <v>-6.4000000000000001E-2</v>
      </c>
      <c r="T417" s="3">
        <f t="shared" si="166"/>
        <v>-7.3449999999999998</v>
      </c>
      <c r="V417" s="3">
        <f t="shared" si="167"/>
        <v>20.64</v>
      </c>
      <c r="W417" s="3">
        <f t="shared" si="168"/>
        <v>-5.4610000000000003</v>
      </c>
      <c r="Y417" s="3">
        <f t="shared" si="169"/>
        <v>60.272000000000006</v>
      </c>
      <c r="Z417" s="3">
        <f t="shared" si="170"/>
        <v>15.179</v>
      </c>
      <c r="AA417" s="3">
        <f t="shared" si="171"/>
        <v>75.451000000000008</v>
      </c>
      <c r="AC417" s="2" t="str">
        <f t="shared" si="172"/>
        <v>2010-09</v>
      </c>
      <c r="AD417" s="9">
        <f t="shared" si="173"/>
        <v>742.57100000000003</v>
      </c>
      <c r="AE417" s="9">
        <f t="shared" si="174"/>
        <v>76.77300000000001</v>
      </c>
      <c r="AF417" s="9">
        <f t="shared" si="175"/>
        <v>819.34399999999994</v>
      </c>
      <c r="AH417" s="10">
        <v>40422</v>
      </c>
      <c r="AI417" s="9">
        <f t="shared" si="176"/>
        <v>793.33299999999997</v>
      </c>
      <c r="AJ417" s="9">
        <f t="shared" si="177"/>
        <v>77.951000000000022</v>
      </c>
      <c r="AK417" s="9">
        <f t="shared" si="178"/>
        <v>-23.552000000000007</v>
      </c>
      <c r="AL417" s="9">
        <f t="shared" si="179"/>
        <v>-105.16099999999997</v>
      </c>
      <c r="AM417" s="12">
        <f t="shared" si="180"/>
        <v>26.010999999999967</v>
      </c>
    </row>
    <row r="418" spans="1:39" x14ac:dyDescent="0.25">
      <c r="A418">
        <v>99996</v>
      </c>
      <c r="B418" s="20" t="s">
        <v>488</v>
      </c>
      <c r="C418" s="14">
        <v>1273830</v>
      </c>
      <c r="D418" s="14">
        <v>109749</v>
      </c>
      <c r="E418" s="14">
        <v>104316</v>
      </c>
      <c r="F418" s="14">
        <v>556356</v>
      </c>
      <c r="G418" s="14">
        <v>254333</v>
      </c>
      <c r="H418" s="14">
        <v>356515</v>
      </c>
      <c r="J418" s="14">
        <v>1250381</v>
      </c>
      <c r="K418" s="14">
        <v>95593</v>
      </c>
      <c r="L418" s="14">
        <v>103884</v>
      </c>
      <c r="M418" s="14">
        <v>540158</v>
      </c>
      <c r="N418" s="14">
        <v>270790</v>
      </c>
      <c r="O418" s="14">
        <v>366479</v>
      </c>
      <c r="Q418" s="3">
        <f t="shared" si="163"/>
        <v>23.449000000000002</v>
      </c>
      <c r="R418" s="3">
        <f t="shared" si="164"/>
        <v>14.156000000000001</v>
      </c>
      <c r="S418" s="3">
        <f t="shared" si="165"/>
        <v>0.432</v>
      </c>
      <c r="T418" s="3">
        <f t="shared" si="166"/>
        <v>-16.457000000000001</v>
      </c>
      <c r="V418" s="3">
        <f t="shared" si="167"/>
        <v>16.198</v>
      </c>
      <c r="W418" s="3">
        <f t="shared" si="168"/>
        <v>-9.9640000000000004</v>
      </c>
      <c r="Y418" s="3">
        <f t="shared" si="169"/>
        <v>21.580000000000005</v>
      </c>
      <c r="Z418" s="3">
        <f t="shared" si="170"/>
        <v>6.234</v>
      </c>
      <c r="AA418" s="3">
        <f t="shared" si="171"/>
        <v>27.814000000000007</v>
      </c>
      <c r="AC418" s="2" t="str">
        <f t="shared" si="172"/>
        <v>2010-10</v>
      </c>
      <c r="AD418" s="9">
        <f t="shared" si="173"/>
        <v>750.80700000000002</v>
      </c>
      <c r="AE418" s="9">
        <f t="shared" si="174"/>
        <v>77.035999999999987</v>
      </c>
      <c r="AF418" s="9">
        <f t="shared" si="175"/>
        <v>827.84299999999996</v>
      </c>
      <c r="AH418" s="10">
        <v>40452</v>
      </c>
      <c r="AI418" s="9">
        <f t="shared" si="176"/>
        <v>777.87200000000007</v>
      </c>
      <c r="AJ418" s="9">
        <f t="shared" si="177"/>
        <v>97.465000000000003</v>
      </c>
      <c r="AK418" s="9">
        <f t="shared" si="178"/>
        <v>-22.276</v>
      </c>
      <c r="AL418" s="9">
        <f t="shared" si="179"/>
        <v>-102.25399999999999</v>
      </c>
      <c r="AM418" s="12">
        <f t="shared" si="180"/>
        <v>49.97099999999989</v>
      </c>
    </row>
    <row r="419" spans="1:39" x14ac:dyDescent="0.25">
      <c r="A419">
        <v>99996</v>
      </c>
      <c r="B419" s="20" t="s">
        <v>489</v>
      </c>
      <c r="C419" s="14">
        <v>1753546</v>
      </c>
      <c r="D419" s="14">
        <v>100799</v>
      </c>
      <c r="E419" s="14">
        <v>93113</v>
      </c>
      <c r="F419" s="14">
        <v>569668</v>
      </c>
      <c r="G419" s="14">
        <v>267333</v>
      </c>
      <c r="H419" s="14">
        <v>337028</v>
      </c>
      <c r="J419" s="14">
        <v>1691827</v>
      </c>
      <c r="K419" s="14">
        <v>86579</v>
      </c>
      <c r="L419" s="14">
        <v>90230</v>
      </c>
      <c r="M419" s="14">
        <v>556371</v>
      </c>
      <c r="N419" s="14">
        <v>265294</v>
      </c>
      <c r="O419" s="14">
        <v>346030</v>
      </c>
      <c r="Q419" s="3">
        <f t="shared" si="163"/>
        <v>61.719000000000001</v>
      </c>
      <c r="R419" s="3">
        <f t="shared" si="164"/>
        <v>14.22</v>
      </c>
      <c r="S419" s="3">
        <f t="shared" si="165"/>
        <v>2.883</v>
      </c>
      <c r="T419" s="3">
        <f t="shared" si="166"/>
        <v>2.0390000000000001</v>
      </c>
      <c r="V419" s="3">
        <f t="shared" si="167"/>
        <v>13.297000000000001</v>
      </c>
      <c r="W419" s="3">
        <f t="shared" si="168"/>
        <v>-9.0020000000000007</v>
      </c>
      <c r="Y419" s="3">
        <f t="shared" si="169"/>
        <v>80.861000000000004</v>
      </c>
      <c r="Z419" s="3">
        <f t="shared" si="170"/>
        <v>4.2949999999999999</v>
      </c>
      <c r="AA419" s="3">
        <f t="shared" si="171"/>
        <v>85.156000000000006</v>
      </c>
      <c r="AC419" s="2" t="str">
        <f t="shared" si="172"/>
        <v>2010-11</v>
      </c>
      <c r="AD419" s="9">
        <f t="shared" si="173"/>
        <v>717.55000000000007</v>
      </c>
      <c r="AE419" s="9">
        <f t="shared" si="174"/>
        <v>69.085999999999999</v>
      </c>
      <c r="AF419" s="9">
        <f t="shared" si="175"/>
        <v>786.63599999999997</v>
      </c>
      <c r="AH419" s="10">
        <v>40483</v>
      </c>
      <c r="AI419" s="9">
        <f t="shared" si="176"/>
        <v>721.71100000000001</v>
      </c>
      <c r="AJ419" s="9">
        <f t="shared" si="177"/>
        <v>105.77700000000002</v>
      </c>
      <c r="AK419" s="9">
        <f t="shared" si="178"/>
        <v>-14.829000000000008</v>
      </c>
      <c r="AL419" s="9">
        <f t="shared" si="179"/>
        <v>-95.108999999999995</v>
      </c>
      <c r="AM419" s="12">
        <f t="shared" si="180"/>
        <v>64.924999999999955</v>
      </c>
    </row>
    <row r="420" spans="1:39" x14ac:dyDescent="0.25">
      <c r="A420">
        <v>99996</v>
      </c>
      <c r="B420" s="20" t="s">
        <v>490</v>
      </c>
      <c r="C420" s="14">
        <v>1411399</v>
      </c>
      <c r="D420" s="14">
        <v>94368</v>
      </c>
      <c r="E420" s="14">
        <v>80508</v>
      </c>
      <c r="F420" s="14">
        <v>540138</v>
      </c>
      <c r="G420" s="14">
        <v>231762</v>
      </c>
      <c r="H420" s="14">
        <v>320037</v>
      </c>
      <c r="J420" s="14">
        <v>1356758</v>
      </c>
      <c r="K420" s="14">
        <v>85001</v>
      </c>
      <c r="L420" s="14">
        <v>77872</v>
      </c>
      <c r="M420" s="14">
        <v>533375</v>
      </c>
      <c r="N420" s="14">
        <v>234216</v>
      </c>
      <c r="O420" s="14">
        <v>328458</v>
      </c>
      <c r="Q420" s="3">
        <f t="shared" si="163"/>
        <v>54.640999999999998</v>
      </c>
      <c r="R420" s="3">
        <f t="shared" si="164"/>
        <v>9.3670000000000009</v>
      </c>
      <c r="S420" s="3">
        <f t="shared" si="165"/>
        <v>2.6360000000000001</v>
      </c>
      <c r="T420" s="3">
        <f t="shared" si="166"/>
        <v>-2.4540000000000002</v>
      </c>
      <c r="V420" s="3">
        <f t="shared" si="167"/>
        <v>6.7629999999999999</v>
      </c>
      <c r="W420" s="3">
        <f t="shared" si="168"/>
        <v>-8.4209999999999994</v>
      </c>
      <c r="Y420" s="3">
        <f t="shared" si="169"/>
        <v>64.19</v>
      </c>
      <c r="Z420" s="3">
        <f t="shared" si="170"/>
        <v>-1.6579999999999995</v>
      </c>
      <c r="AA420" s="3">
        <f t="shared" si="171"/>
        <v>62.532000000000004</v>
      </c>
      <c r="AC420" s="2" t="str">
        <f t="shared" si="172"/>
        <v>2010-12</v>
      </c>
      <c r="AD420" s="9">
        <f t="shared" si="173"/>
        <v>737.07899999999995</v>
      </c>
      <c r="AE420" s="9">
        <f t="shared" si="174"/>
        <v>48.792000000000002</v>
      </c>
      <c r="AF420" s="9">
        <f t="shared" si="175"/>
        <v>785.87099999999998</v>
      </c>
      <c r="AH420" s="10">
        <v>40513</v>
      </c>
      <c r="AI420" s="9">
        <f t="shared" si="176"/>
        <v>706.40800000000002</v>
      </c>
      <c r="AJ420" s="9">
        <f t="shared" si="177"/>
        <v>115.09500000000001</v>
      </c>
      <c r="AK420" s="9">
        <f t="shared" si="178"/>
        <v>-4.2499999999999947</v>
      </c>
      <c r="AL420" s="9">
        <f t="shared" si="179"/>
        <v>-80.173999999999992</v>
      </c>
      <c r="AM420" s="12">
        <f t="shared" si="180"/>
        <v>79.462999999999965</v>
      </c>
    </row>
    <row r="421" spans="1:39" x14ac:dyDescent="0.25">
      <c r="A421">
        <v>99996</v>
      </c>
      <c r="B421" s="20" t="s">
        <v>479</v>
      </c>
      <c r="C421" s="14">
        <v>1422938</v>
      </c>
      <c r="D421" s="14">
        <v>96479</v>
      </c>
      <c r="E421" s="14">
        <v>97409</v>
      </c>
      <c r="F421" s="14">
        <v>574912</v>
      </c>
      <c r="G421" s="14">
        <v>279141</v>
      </c>
      <c r="H421" s="14">
        <v>316010</v>
      </c>
      <c r="J421" s="14">
        <v>1376467</v>
      </c>
      <c r="K421" s="14">
        <v>85205</v>
      </c>
      <c r="L421" s="14">
        <v>96754</v>
      </c>
      <c r="M421" s="14">
        <v>558982</v>
      </c>
      <c r="N421" s="14">
        <v>283803</v>
      </c>
      <c r="O421" s="14">
        <v>334175</v>
      </c>
      <c r="Q421" s="3">
        <f t="shared" si="163"/>
        <v>46.470999999999997</v>
      </c>
      <c r="R421" s="3">
        <f t="shared" si="164"/>
        <v>11.273999999999999</v>
      </c>
      <c r="S421" s="3">
        <f t="shared" si="165"/>
        <v>0.65500000000000003</v>
      </c>
      <c r="T421" s="3">
        <f t="shared" si="166"/>
        <v>-4.6619999999999999</v>
      </c>
      <c r="V421" s="3">
        <f t="shared" si="167"/>
        <v>15.93</v>
      </c>
      <c r="W421" s="3">
        <f t="shared" si="168"/>
        <v>-18.164999999999999</v>
      </c>
      <c r="Y421" s="3">
        <f t="shared" si="169"/>
        <v>53.738</v>
      </c>
      <c r="Z421" s="3">
        <f t="shared" si="170"/>
        <v>-2.2349999999999994</v>
      </c>
      <c r="AA421" s="3">
        <f t="shared" si="171"/>
        <v>51.503000000000007</v>
      </c>
      <c r="AC421" s="2" t="str">
        <f t="shared" si="172"/>
        <v>2011-01</v>
      </c>
      <c r="AD421" s="9">
        <f t="shared" si="173"/>
        <v>770.9340000000002</v>
      </c>
      <c r="AE421" s="9">
        <f t="shared" si="174"/>
        <v>47.347999999999999</v>
      </c>
      <c r="AF421" s="9">
        <f t="shared" si="175"/>
        <v>818.28199999999993</v>
      </c>
      <c r="AH421" s="10">
        <v>40544</v>
      </c>
      <c r="AI421" s="9">
        <f t="shared" si="176"/>
        <v>691.48699999999997</v>
      </c>
      <c r="AJ421" s="9">
        <f t="shared" si="177"/>
        <v>131.40299999999999</v>
      </c>
      <c r="AK421" s="9">
        <f t="shared" si="178"/>
        <v>20.971</v>
      </c>
      <c r="AL421" s="9">
        <f t="shared" si="179"/>
        <v>-72.927000000000007</v>
      </c>
      <c r="AM421" s="12">
        <f t="shared" si="180"/>
        <v>126.79499999999996</v>
      </c>
    </row>
    <row r="422" spans="1:39" x14ac:dyDescent="0.25">
      <c r="A422">
        <v>99996</v>
      </c>
      <c r="B422" s="20" t="s">
        <v>491</v>
      </c>
      <c r="C422" s="14">
        <v>1515097</v>
      </c>
      <c r="D422" s="14">
        <v>77070</v>
      </c>
      <c r="E422" s="14">
        <v>92950</v>
      </c>
      <c r="F422" s="14">
        <v>595067</v>
      </c>
      <c r="G422" s="14">
        <v>295445</v>
      </c>
      <c r="H422" s="14">
        <v>342644</v>
      </c>
      <c r="J422" s="14">
        <v>1485203</v>
      </c>
      <c r="K422" s="14">
        <v>78659</v>
      </c>
      <c r="L422" s="14">
        <v>95570</v>
      </c>
      <c r="M422" s="14">
        <v>588972</v>
      </c>
      <c r="N422" s="14">
        <v>287757</v>
      </c>
      <c r="O422" s="14">
        <v>355863</v>
      </c>
      <c r="Q422" s="3">
        <f t="shared" ref="Q422:Q429" si="181">(C422-J422)/1000</f>
        <v>29.893999999999998</v>
      </c>
      <c r="R422" s="3">
        <f t="shared" ref="R422:R429" si="182">(D422-K422)/1000</f>
        <v>-1.589</v>
      </c>
      <c r="S422" s="3">
        <f t="shared" ref="S422:S429" si="183">(E422-L422)/1000</f>
        <v>-2.62</v>
      </c>
      <c r="T422" s="3">
        <f t="shared" ref="T422:T429" si="184">(G422-N422)/1000</f>
        <v>7.6879999999999997</v>
      </c>
      <c r="V422" s="3">
        <f t="shared" ref="V422:V429" si="185">(F422-M422)/1000</f>
        <v>6.0949999999999998</v>
      </c>
      <c r="W422" s="3">
        <f t="shared" ref="W422:W429" si="186">(H422-O422)/1000</f>
        <v>-13.218999999999999</v>
      </c>
      <c r="Y422" s="3">
        <f t="shared" ref="Y422:Y429" si="187">SUM(Q422:T422)</f>
        <v>33.372999999999998</v>
      </c>
      <c r="Z422" s="3">
        <f t="shared" ref="Z422:Z429" si="188">V422+W422</f>
        <v>-7.1239999999999997</v>
      </c>
      <c r="AA422" s="3">
        <f t="shared" ref="AA422:AA429" si="189">SUM(Q422:W422)</f>
        <v>26.248999999999995</v>
      </c>
      <c r="AC422" s="2" t="s">
        <v>491</v>
      </c>
      <c r="AD422" s="9">
        <f t="shared" ref="AD422:AD429" si="190">SUM(Y411:Y422)</f>
        <v>770.04000000000019</v>
      </c>
      <c r="AE422" s="9">
        <f t="shared" ref="AE422:AE429" si="191">SUM(Z411:Z422)</f>
        <v>28.664000000000005</v>
      </c>
      <c r="AF422" s="9">
        <f t="shared" ref="AF422:AF429" si="192">SUM(AA411:AA422)</f>
        <v>798.70399999999995</v>
      </c>
      <c r="AH422" s="10">
        <v>40575</v>
      </c>
      <c r="AI422" s="9">
        <f t="shared" ref="AI422:AI429" si="193">SUM(Q411:Q422)</f>
        <v>673.17899999999997</v>
      </c>
      <c r="AJ422" s="9">
        <f t="shared" ref="AJ422:AJ429" si="194">SUM(R411:R422)</f>
        <v>127.63500000000002</v>
      </c>
      <c r="AK422" s="9">
        <f t="shared" ref="AK422:AK429" si="195">SUM(S411:S422)</f>
        <v>30.440999999999999</v>
      </c>
      <c r="AL422" s="9">
        <f t="shared" ref="AL422:AL429" si="196">SUM(T411:T422)</f>
        <v>-61.215000000000003</v>
      </c>
      <c r="AM422" s="12">
        <f t="shared" ref="AM422:AM429" si="197">AF422-AI422</f>
        <v>125.52499999999998</v>
      </c>
    </row>
    <row r="423" spans="1:39" x14ac:dyDescent="0.25">
      <c r="A423">
        <v>99996</v>
      </c>
      <c r="B423" s="20" t="s">
        <v>492</v>
      </c>
      <c r="C423" s="14">
        <v>1732864</v>
      </c>
      <c r="D423" s="14">
        <v>86287</v>
      </c>
      <c r="E423" s="14">
        <v>109584</v>
      </c>
      <c r="F423" s="14">
        <v>732444</v>
      </c>
      <c r="G423" s="14">
        <v>385367</v>
      </c>
      <c r="H423" s="14">
        <v>403391</v>
      </c>
      <c r="J423" s="14">
        <v>1706837</v>
      </c>
      <c r="K423" s="14">
        <v>76794</v>
      </c>
      <c r="L423" s="14">
        <v>106238</v>
      </c>
      <c r="M423" s="14">
        <v>717867</v>
      </c>
      <c r="N423" s="14">
        <v>402292</v>
      </c>
      <c r="O423" s="14">
        <v>417123</v>
      </c>
      <c r="Q423" s="3">
        <f t="shared" si="181"/>
        <v>26.027000000000001</v>
      </c>
      <c r="R423" s="3">
        <f t="shared" si="182"/>
        <v>9.4930000000000003</v>
      </c>
      <c r="S423" s="3">
        <f t="shared" si="183"/>
        <v>3.3460000000000001</v>
      </c>
      <c r="T423" s="3">
        <f t="shared" si="184"/>
        <v>-16.925000000000001</v>
      </c>
      <c r="V423" s="3">
        <f t="shared" si="185"/>
        <v>14.577</v>
      </c>
      <c r="W423" s="3">
        <f t="shared" si="186"/>
        <v>-13.731999999999999</v>
      </c>
      <c r="Y423" s="3">
        <f t="shared" si="187"/>
        <v>21.940999999999999</v>
      </c>
      <c r="Z423" s="3">
        <f t="shared" si="188"/>
        <v>0.84500000000000064</v>
      </c>
      <c r="AA423" s="3">
        <f t="shared" si="189"/>
        <v>22.786000000000001</v>
      </c>
      <c r="AC423" s="2" t="s">
        <v>492</v>
      </c>
      <c r="AD423" s="9">
        <f t="shared" si="190"/>
        <v>662.84500000000003</v>
      </c>
      <c r="AE423" s="9">
        <f t="shared" si="191"/>
        <v>20.240000000000009</v>
      </c>
      <c r="AF423" s="9">
        <f t="shared" si="192"/>
        <v>683.08500000000026</v>
      </c>
      <c r="AH423" s="10">
        <v>40603</v>
      </c>
      <c r="AI423" s="9">
        <f t="shared" si="193"/>
        <v>591.55800000000011</v>
      </c>
      <c r="AJ423" s="9">
        <f t="shared" si="194"/>
        <v>116.54600000000002</v>
      </c>
      <c r="AK423" s="9">
        <f t="shared" si="195"/>
        <v>17.802</v>
      </c>
      <c r="AL423" s="9">
        <f t="shared" si="196"/>
        <v>-63.060999999999993</v>
      </c>
      <c r="AM423" s="12">
        <f t="shared" si="197"/>
        <v>91.527000000000157</v>
      </c>
    </row>
    <row r="424" spans="1:39" x14ac:dyDescent="0.25">
      <c r="A424">
        <v>99996</v>
      </c>
      <c r="B424" s="20" t="s">
        <v>493</v>
      </c>
      <c r="C424" s="14">
        <v>1267441</v>
      </c>
      <c r="D424" s="14">
        <v>86587</v>
      </c>
      <c r="E424" s="14">
        <v>84436</v>
      </c>
      <c r="F424" s="14">
        <v>593135</v>
      </c>
      <c r="G424" s="14">
        <v>316165</v>
      </c>
      <c r="H424" s="14">
        <v>328232</v>
      </c>
      <c r="J424" s="14">
        <v>1243831</v>
      </c>
      <c r="K424" s="14">
        <v>79083</v>
      </c>
      <c r="L424" s="14">
        <v>89306</v>
      </c>
      <c r="M424" s="14">
        <v>575330</v>
      </c>
      <c r="N424" s="14">
        <v>317484</v>
      </c>
      <c r="O424" s="14">
        <v>341226</v>
      </c>
      <c r="Q424" s="3">
        <f t="shared" si="181"/>
        <v>23.61</v>
      </c>
      <c r="R424" s="3">
        <f t="shared" si="182"/>
        <v>7.5039999999999996</v>
      </c>
      <c r="S424" s="3">
        <f t="shared" si="183"/>
        <v>-4.87</v>
      </c>
      <c r="T424" s="3">
        <f t="shared" si="184"/>
        <v>-1.319</v>
      </c>
      <c r="V424" s="3">
        <f t="shared" si="185"/>
        <v>17.805</v>
      </c>
      <c r="W424" s="3">
        <f t="shared" si="186"/>
        <v>-12.994</v>
      </c>
      <c r="Y424" s="3">
        <f t="shared" si="187"/>
        <v>24.924999999999997</v>
      </c>
      <c r="Z424" s="3">
        <f t="shared" si="188"/>
        <v>4.8109999999999999</v>
      </c>
      <c r="AA424" s="3">
        <f t="shared" si="189"/>
        <v>29.735999999999997</v>
      </c>
      <c r="AC424" s="2" t="s">
        <v>493</v>
      </c>
      <c r="AD424" s="9">
        <f t="shared" si="190"/>
        <v>608.86900000000003</v>
      </c>
      <c r="AE424" s="9">
        <f t="shared" si="191"/>
        <v>28.609000000000009</v>
      </c>
      <c r="AF424" s="9">
        <f t="shared" si="192"/>
        <v>637.47799999999995</v>
      </c>
      <c r="AH424" s="10">
        <v>40634</v>
      </c>
      <c r="AI424" s="9">
        <f t="shared" si="193"/>
        <v>537.97700000000009</v>
      </c>
      <c r="AJ424" s="9">
        <f t="shared" si="194"/>
        <v>113.798</v>
      </c>
      <c r="AK424" s="9">
        <f t="shared" si="195"/>
        <v>2.9420000000000028</v>
      </c>
      <c r="AL424" s="9">
        <f t="shared" si="196"/>
        <v>-45.848000000000006</v>
      </c>
      <c r="AM424" s="12">
        <f t="shared" si="197"/>
        <v>99.500999999999863</v>
      </c>
    </row>
    <row r="425" spans="1:39" x14ac:dyDescent="0.25">
      <c r="A425">
        <v>99996</v>
      </c>
      <c r="B425" s="20" t="s">
        <v>494</v>
      </c>
      <c r="C425" s="14">
        <v>1634416</v>
      </c>
      <c r="D425" s="14">
        <v>75232</v>
      </c>
      <c r="E425" s="14">
        <v>87647</v>
      </c>
      <c r="F425" s="14">
        <v>673811</v>
      </c>
      <c r="G425" s="14">
        <v>316006</v>
      </c>
      <c r="H425" s="14">
        <v>341585</v>
      </c>
      <c r="J425" s="14">
        <v>1598091</v>
      </c>
      <c r="K425" s="14">
        <v>83548</v>
      </c>
      <c r="L425" s="14">
        <v>82088</v>
      </c>
      <c r="M425" s="14">
        <v>664589</v>
      </c>
      <c r="N425" s="14">
        <v>330075</v>
      </c>
      <c r="O425" s="14">
        <v>347912</v>
      </c>
      <c r="Q425" s="3">
        <f t="shared" si="181"/>
        <v>36.325000000000003</v>
      </c>
      <c r="R425" s="3">
        <f t="shared" si="182"/>
        <v>-8.3160000000000007</v>
      </c>
      <c r="S425" s="3">
        <f t="shared" si="183"/>
        <v>5.5590000000000002</v>
      </c>
      <c r="T425" s="3">
        <f t="shared" si="184"/>
        <v>-14.069000000000001</v>
      </c>
      <c r="V425" s="3">
        <f t="shared" si="185"/>
        <v>9.2219999999999995</v>
      </c>
      <c r="W425" s="3">
        <f t="shared" si="186"/>
        <v>-6.327</v>
      </c>
      <c r="Y425" s="3">
        <f t="shared" si="187"/>
        <v>19.498999999999995</v>
      </c>
      <c r="Z425" s="3">
        <f t="shared" si="188"/>
        <v>2.8949999999999996</v>
      </c>
      <c r="AA425" s="3">
        <f t="shared" si="189"/>
        <v>22.393999999999998</v>
      </c>
      <c r="AC425" s="2" t="s">
        <v>494</v>
      </c>
      <c r="AD425" s="9">
        <f t="shared" si="190"/>
        <v>587.53600000000006</v>
      </c>
      <c r="AE425" s="9">
        <f t="shared" si="191"/>
        <v>41.478999999999999</v>
      </c>
      <c r="AF425" s="9">
        <f t="shared" si="192"/>
        <v>629.01499999999999</v>
      </c>
      <c r="AH425" s="10">
        <v>40664</v>
      </c>
      <c r="AI425" s="9">
        <f t="shared" si="193"/>
        <v>559.18500000000006</v>
      </c>
      <c r="AJ425" s="9">
        <f t="shared" si="194"/>
        <v>83.111999999999995</v>
      </c>
      <c r="AK425" s="9">
        <f t="shared" si="195"/>
        <v>17.655999999999999</v>
      </c>
      <c r="AL425" s="9">
        <f t="shared" si="196"/>
        <v>-72.417000000000002</v>
      </c>
      <c r="AM425" s="12">
        <f t="shared" si="197"/>
        <v>69.829999999999927</v>
      </c>
    </row>
    <row r="426" spans="1:39" x14ac:dyDescent="0.25">
      <c r="A426">
        <v>99996</v>
      </c>
      <c r="B426" s="20" t="s">
        <v>495</v>
      </c>
      <c r="C426" s="14">
        <v>1708114</v>
      </c>
      <c r="D426" s="14">
        <v>82582</v>
      </c>
      <c r="E426" s="14">
        <v>114251</v>
      </c>
      <c r="F426" s="14">
        <v>665514</v>
      </c>
      <c r="G426" s="14">
        <v>360013</v>
      </c>
      <c r="H426" s="14">
        <v>341182</v>
      </c>
      <c r="J426" s="14">
        <v>1711786</v>
      </c>
      <c r="K426" s="14">
        <v>82836</v>
      </c>
      <c r="L426" s="14">
        <v>125031</v>
      </c>
      <c r="M426" s="14">
        <v>661721</v>
      </c>
      <c r="N426" s="14">
        <v>346613</v>
      </c>
      <c r="O426" s="14">
        <v>339524</v>
      </c>
      <c r="Q426" s="3">
        <f t="shared" si="181"/>
        <v>-3.6720000000000002</v>
      </c>
      <c r="R426" s="3">
        <f t="shared" si="182"/>
        <v>-0.254</v>
      </c>
      <c r="S426" s="3">
        <f t="shared" si="183"/>
        <v>-10.78</v>
      </c>
      <c r="T426" s="3">
        <f t="shared" si="184"/>
        <v>13.4</v>
      </c>
      <c r="V426" s="3">
        <f t="shared" si="185"/>
        <v>3.7930000000000001</v>
      </c>
      <c r="W426" s="3">
        <f t="shared" si="186"/>
        <v>1.6579999999999999</v>
      </c>
      <c r="Y426" s="3">
        <f t="shared" si="187"/>
        <v>-1.3059999999999992</v>
      </c>
      <c r="Z426" s="3">
        <f t="shared" si="188"/>
        <v>5.4510000000000005</v>
      </c>
      <c r="AA426" s="3">
        <f t="shared" si="189"/>
        <v>4.1450000000000014</v>
      </c>
      <c r="AC426" s="2" t="s">
        <v>495</v>
      </c>
      <c r="AD426" s="9">
        <f t="shared" si="190"/>
        <v>545.95699999999999</v>
      </c>
      <c r="AE426" s="9">
        <f t="shared" si="191"/>
        <v>47.059999999999995</v>
      </c>
      <c r="AF426" s="9">
        <f t="shared" si="192"/>
        <v>593.01699999999994</v>
      </c>
      <c r="AH426" s="10">
        <v>40695</v>
      </c>
      <c r="AI426" s="9">
        <f t="shared" si="193"/>
        <v>523.78500000000008</v>
      </c>
      <c r="AJ426" s="9">
        <f t="shared" si="194"/>
        <v>66.058999999999997</v>
      </c>
      <c r="AK426" s="9">
        <f t="shared" si="195"/>
        <v>20.774000000000001</v>
      </c>
      <c r="AL426" s="9">
        <f t="shared" si="196"/>
        <v>-64.661000000000001</v>
      </c>
      <c r="AM426" s="12">
        <f t="shared" si="197"/>
        <v>69.231999999999857</v>
      </c>
    </row>
    <row r="427" spans="1:39" x14ac:dyDescent="0.25">
      <c r="A427">
        <v>99996</v>
      </c>
      <c r="B427" s="20" t="s">
        <v>496</v>
      </c>
      <c r="C427" s="14">
        <v>1324741</v>
      </c>
      <c r="D427" s="14">
        <v>92285</v>
      </c>
      <c r="E427" s="14">
        <v>77178</v>
      </c>
      <c r="F427" s="14">
        <v>606492</v>
      </c>
      <c r="G427" s="14">
        <v>290201</v>
      </c>
      <c r="H427" s="14">
        <v>305573</v>
      </c>
      <c r="J427" s="14">
        <v>1309200</v>
      </c>
      <c r="K427" s="14">
        <v>84002</v>
      </c>
      <c r="L427" s="14">
        <v>75979</v>
      </c>
      <c r="M427" s="14">
        <v>607461</v>
      </c>
      <c r="N427" s="14">
        <v>289621</v>
      </c>
      <c r="O427" s="14">
        <v>321153</v>
      </c>
      <c r="Q427" s="3">
        <f t="shared" si="181"/>
        <v>15.541</v>
      </c>
      <c r="R427" s="3">
        <f t="shared" si="182"/>
        <v>8.2829999999999995</v>
      </c>
      <c r="S427" s="3">
        <f t="shared" si="183"/>
        <v>1.1990000000000001</v>
      </c>
      <c r="T427" s="3">
        <f t="shared" si="184"/>
        <v>0.57999999999999996</v>
      </c>
      <c r="V427" s="3">
        <f t="shared" si="185"/>
        <v>-0.96899999999999997</v>
      </c>
      <c r="W427" s="3">
        <f t="shared" si="186"/>
        <v>-15.58</v>
      </c>
      <c r="Y427" s="3">
        <f t="shared" si="187"/>
        <v>25.602999999999998</v>
      </c>
      <c r="Z427" s="3">
        <f t="shared" si="188"/>
        <v>-16.548999999999999</v>
      </c>
      <c r="AA427" s="3">
        <f t="shared" si="189"/>
        <v>9.0539999999999967</v>
      </c>
      <c r="AC427" s="2" t="s">
        <v>496</v>
      </c>
      <c r="AD427" s="9">
        <f t="shared" si="190"/>
        <v>518.63</v>
      </c>
      <c r="AE427" s="9">
        <f t="shared" si="191"/>
        <v>23.984000000000009</v>
      </c>
      <c r="AF427" s="9">
        <f t="shared" si="192"/>
        <v>542.61399999999992</v>
      </c>
      <c r="AH427" s="10">
        <v>40725</v>
      </c>
      <c r="AI427" s="9">
        <f t="shared" si="193"/>
        <v>509.16800000000001</v>
      </c>
      <c r="AJ427" s="9">
        <f t="shared" si="194"/>
        <v>58.184000000000005</v>
      </c>
      <c r="AK427" s="9">
        <f t="shared" si="195"/>
        <v>8.1189999999999998</v>
      </c>
      <c r="AL427" s="9">
        <f t="shared" si="196"/>
        <v>-56.841000000000001</v>
      </c>
      <c r="AM427" s="12">
        <f t="shared" si="197"/>
        <v>33.445999999999913</v>
      </c>
    </row>
    <row r="428" spans="1:39" x14ac:dyDescent="0.25">
      <c r="A428">
        <v>99996</v>
      </c>
      <c r="B428" s="20" t="s">
        <v>497</v>
      </c>
      <c r="C428" s="14">
        <v>2109388</v>
      </c>
      <c r="D428" s="14">
        <v>99433</v>
      </c>
      <c r="E428" s="14">
        <v>98183</v>
      </c>
      <c r="F428" s="14">
        <v>901451</v>
      </c>
      <c r="G428" s="14">
        <v>266094</v>
      </c>
      <c r="H428" s="14">
        <v>378375</v>
      </c>
      <c r="J428" s="14">
        <v>2049258</v>
      </c>
      <c r="K428" s="14">
        <v>90618</v>
      </c>
      <c r="L428" s="14">
        <v>94496</v>
      </c>
      <c r="M428" s="14">
        <v>907945</v>
      </c>
      <c r="N428" s="14">
        <v>270997</v>
      </c>
      <c r="O428" s="14">
        <v>381601</v>
      </c>
      <c r="Q428" s="3">
        <f t="shared" si="181"/>
        <v>60.13</v>
      </c>
      <c r="R428" s="3">
        <f t="shared" si="182"/>
        <v>8.8149999999999995</v>
      </c>
      <c r="S428" s="3">
        <f t="shared" si="183"/>
        <v>3.6869999999999998</v>
      </c>
      <c r="T428" s="3">
        <f t="shared" si="184"/>
        <v>-4.9029999999999996</v>
      </c>
      <c r="V428" s="3">
        <f t="shared" si="185"/>
        <v>-6.4939999999999998</v>
      </c>
      <c r="W428" s="3">
        <f t="shared" si="186"/>
        <v>-3.226</v>
      </c>
      <c r="Y428" s="3">
        <f t="shared" si="187"/>
        <v>67.728999999999999</v>
      </c>
      <c r="Z428" s="3">
        <f t="shared" si="188"/>
        <v>-9.7199999999999989</v>
      </c>
      <c r="AA428" s="3">
        <f t="shared" si="189"/>
        <v>58.009</v>
      </c>
      <c r="AC428" s="2" t="s">
        <v>497</v>
      </c>
      <c r="AD428" s="9">
        <f t="shared" si="190"/>
        <v>472.40500000000003</v>
      </c>
      <c r="AE428" s="9">
        <f t="shared" si="191"/>
        <v>2.424000000000003</v>
      </c>
      <c r="AF428" s="9">
        <f t="shared" si="192"/>
        <v>474.82900000000001</v>
      </c>
      <c r="AH428" s="10">
        <v>40756</v>
      </c>
      <c r="AI428" s="9">
        <f t="shared" si="193"/>
        <v>451.28599999999994</v>
      </c>
      <c r="AJ428" s="9">
        <f t="shared" si="194"/>
        <v>63.482999999999997</v>
      </c>
      <c r="AK428" s="9">
        <f t="shared" si="195"/>
        <v>2.0630000000000015</v>
      </c>
      <c r="AL428" s="9">
        <f t="shared" si="196"/>
        <v>-44.427000000000007</v>
      </c>
      <c r="AM428" s="12">
        <f t="shared" si="197"/>
        <v>23.543000000000063</v>
      </c>
    </row>
    <row r="429" spans="1:39" x14ac:dyDescent="0.25">
      <c r="A429">
        <v>99996</v>
      </c>
      <c r="B429" s="20" t="s">
        <v>498</v>
      </c>
      <c r="C429" s="14">
        <v>1515497</v>
      </c>
      <c r="D429" s="14">
        <v>121143</v>
      </c>
      <c r="E429" s="14">
        <v>62457</v>
      </c>
      <c r="F429" s="14">
        <v>635372</v>
      </c>
      <c r="G429" s="14">
        <v>273998</v>
      </c>
      <c r="H429" s="14">
        <v>313581</v>
      </c>
      <c r="J429" s="14">
        <v>1430982</v>
      </c>
      <c r="K429" s="14">
        <v>114091</v>
      </c>
      <c r="L429" s="14">
        <v>68930</v>
      </c>
      <c r="M429" s="14">
        <v>654621</v>
      </c>
      <c r="N429" s="14">
        <v>273021</v>
      </c>
      <c r="O429" s="14">
        <v>311851</v>
      </c>
      <c r="Q429" s="3">
        <f t="shared" si="181"/>
        <v>84.515000000000001</v>
      </c>
      <c r="R429" s="3">
        <f t="shared" si="182"/>
        <v>7.0519999999999996</v>
      </c>
      <c r="S429" s="3">
        <f t="shared" si="183"/>
        <v>-6.4729999999999999</v>
      </c>
      <c r="T429" s="3">
        <f t="shared" si="184"/>
        <v>0.97699999999999998</v>
      </c>
      <c r="V429" s="3">
        <f t="shared" si="185"/>
        <v>-19.248999999999999</v>
      </c>
      <c r="W429" s="3">
        <f t="shared" si="186"/>
        <v>1.73</v>
      </c>
      <c r="Y429" s="3">
        <f t="shared" si="187"/>
        <v>86.071000000000012</v>
      </c>
      <c r="Z429" s="3">
        <f t="shared" si="188"/>
        <v>-17.518999999999998</v>
      </c>
      <c r="AA429" s="3">
        <f t="shared" si="189"/>
        <v>68.552000000000021</v>
      </c>
      <c r="AC429" s="2" t="s">
        <v>498</v>
      </c>
      <c r="AD429" s="9">
        <f t="shared" si="190"/>
        <v>498.20400000000001</v>
      </c>
      <c r="AE429" s="9">
        <f t="shared" si="191"/>
        <v>-30.273999999999994</v>
      </c>
      <c r="AF429" s="9">
        <f t="shared" si="192"/>
        <v>467.93</v>
      </c>
      <c r="AH429" s="10">
        <v>40787</v>
      </c>
      <c r="AI429" s="9">
        <f t="shared" si="193"/>
        <v>458.65</v>
      </c>
      <c r="AJ429" s="9">
        <f t="shared" si="194"/>
        <v>80.004999999999995</v>
      </c>
      <c r="AK429" s="9">
        <f t="shared" si="195"/>
        <v>-4.3459999999999983</v>
      </c>
      <c r="AL429" s="9">
        <f t="shared" si="196"/>
        <v>-36.105000000000011</v>
      </c>
      <c r="AM429" s="21">
        <f t="shared" si="197"/>
        <v>9.2800000000000296</v>
      </c>
    </row>
    <row r="430" spans="1:39" x14ac:dyDescent="0.25">
      <c r="B430" s="20"/>
      <c r="C430" s="14"/>
      <c r="D430" s="14"/>
      <c r="E430" s="14"/>
      <c r="F430" s="14"/>
      <c r="G430" s="14"/>
      <c r="H430" s="14"/>
      <c r="AH430" s="10"/>
    </row>
    <row r="431" spans="1:39" x14ac:dyDescent="0.25">
      <c r="B431" s="20"/>
      <c r="C431" s="14"/>
      <c r="D431" s="14"/>
      <c r="E431" s="14"/>
      <c r="F431" s="14"/>
      <c r="G431" s="14"/>
      <c r="H431" s="14"/>
      <c r="AH431" s="10"/>
    </row>
    <row r="432" spans="1:39" x14ac:dyDescent="0.25">
      <c r="D432" s="19"/>
      <c r="AH432" s="10"/>
    </row>
    <row r="433" spans="4:34" x14ac:dyDescent="0.25">
      <c r="D433" s="19"/>
      <c r="AH433" s="10"/>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52"/>
  <sheetViews>
    <sheetView workbookViewId="0">
      <pane xSplit="1" ySplit="1" topLeftCell="B2" activePane="bottomRight" state="frozen"/>
      <selection pane="topRight" activeCell="B1" sqref="B1"/>
      <selection pane="bottomLeft" activeCell="A2" sqref="A2"/>
      <selection pane="bottomRight" activeCell="J18" sqref="J18"/>
    </sheetView>
  </sheetViews>
  <sheetFormatPr defaultRowHeight="12.5" x14ac:dyDescent="0.25"/>
  <cols>
    <col min="5" max="5" width="10.81640625" customWidth="1"/>
    <col min="6" max="6" width="9.1796875" style="1"/>
    <col min="16" max="16" width="10.1796875" bestFit="1" customWidth="1"/>
  </cols>
  <sheetData>
    <row r="1" spans="1:16" x14ac:dyDescent="0.25">
      <c r="B1" t="s">
        <v>196</v>
      </c>
      <c r="C1" t="s">
        <v>420</v>
      </c>
      <c r="F1" s="5" t="s">
        <v>195</v>
      </c>
      <c r="G1" s="3" t="s">
        <v>441</v>
      </c>
      <c r="J1" s="3" t="s">
        <v>442</v>
      </c>
      <c r="K1" s="3" t="s">
        <v>443</v>
      </c>
      <c r="L1" s="3" t="s">
        <v>444</v>
      </c>
      <c r="M1" s="3"/>
      <c r="N1" s="3"/>
    </row>
    <row r="2" spans="1:16" x14ac:dyDescent="0.25">
      <c r="A2" t="s">
        <v>190</v>
      </c>
      <c r="B2" s="4">
        <v>87.66239239239701</v>
      </c>
      <c r="C2" s="4">
        <f>LN(B2)</f>
        <v>4.4734929863407809</v>
      </c>
      <c r="D2" s="3"/>
      <c r="E2" s="3" t="str">
        <f t="shared" ref="E2:E33" si="0">A2</f>
        <v>1993-01</v>
      </c>
      <c r="F2" s="5"/>
      <c r="G2" s="3"/>
      <c r="H2" s="3"/>
      <c r="I2" s="3"/>
      <c r="J2" s="3"/>
      <c r="K2" s="3"/>
      <c r="L2" s="3"/>
      <c r="M2" s="3"/>
      <c r="N2" s="3"/>
      <c r="O2" s="3"/>
      <c r="P2" s="3"/>
    </row>
    <row r="3" spans="1:16" x14ac:dyDescent="0.25">
      <c r="A3" t="s">
        <v>191</v>
      </c>
      <c r="B3" s="4">
        <v>87.948697797596154</v>
      </c>
      <c r="C3" s="4">
        <f t="shared" ref="C3:C66" si="1">LN(B3)</f>
        <v>4.476753664906771</v>
      </c>
      <c r="D3" s="3"/>
      <c r="E3" s="3" t="str">
        <f t="shared" si="0"/>
        <v>1993-02</v>
      </c>
      <c r="F3" s="5"/>
      <c r="G3" s="3"/>
      <c r="H3" s="3"/>
      <c r="I3" s="3"/>
      <c r="J3" s="3"/>
      <c r="K3" s="3"/>
      <c r="L3" s="3"/>
      <c r="M3" s="3"/>
      <c r="N3" s="3"/>
      <c r="O3" s="3"/>
      <c r="P3" s="3"/>
    </row>
    <row r="4" spans="1:16" x14ac:dyDescent="0.25">
      <c r="A4" t="s">
        <v>192</v>
      </c>
      <c r="B4" s="4">
        <v>87.261979798169364</v>
      </c>
      <c r="C4" s="4">
        <f t="shared" si="1"/>
        <v>4.4689148559341803</v>
      </c>
      <c r="D4" s="3"/>
      <c r="E4" s="3" t="str">
        <f t="shared" si="0"/>
        <v>1993-03</v>
      </c>
      <c r="F4" s="5"/>
      <c r="G4" s="3"/>
      <c r="H4" s="3"/>
      <c r="I4" s="3"/>
      <c r="J4" s="3"/>
      <c r="K4" s="3"/>
      <c r="L4" s="3"/>
      <c r="M4" s="3"/>
      <c r="N4" s="3"/>
      <c r="O4" s="3"/>
      <c r="P4" s="3"/>
    </row>
    <row r="5" spans="1:16" x14ac:dyDescent="0.25">
      <c r="A5" t="s">
        <v>193</v>
      </c>
      <c r="B5" s="4">
        <v>85.328681513789533</v>
      </c>
      <c r="C5" s="4">
        <f t="shared" si="1"/>
        <v>4.4465106408152586</v>
      </c>
      <c r="D5" s="3"/>
      <c r="E5" s="3" t="str">
        <f t="shared" si="0"/>
        <v>1993-04</v>
      </c>
      <c r="F5" s="5"/>
      <c r="G5" s="3"/>
      <c r="H5" s="3"/>
      <c r="I5" s="3"/>
      <c r="J5" s="3"/>
      <c r="K5" s="3"/>
      <c r="L5" s="3"/>
      <c r="M5" s="3"/>
      <c r="N5" s="3"/>
      <c r="O5" s="3"/>
      <c r="P5" s="3"/>
    </row>
    <row r="6" spans="1:16" x14ac:dyDescent="0.25">
      <c r="A6" t="s">
        <v>194</v>
      </c>
      <c r="B6" s="4">
        <v>85.052434225577557</v>
      </c>
      <c r="C6" s="4">
        <f t="shared" si="1"/>
        <v>4.4432679395443175</v>
      </c>
      <c r="D6" s="3"/>
      <c r="E6" s="3" t="str">
        <f t="shared" si="0"/>
        <v>1993-05</v>
      </c>
      <c r="H6" s="3"/>
      <c r="I6" s="3"/>
      <c r="J6" s="3"/>
      <c r="K6" s="3"/>
      <c r="L6" s="3"/>
      <c r="M6" s="3"/>
      <c r="N6" s="3"/>
      <c r="O6" s="3"/>
      <c r="P6" s="3"/>
    </row>
    <row r="7" spans="1:16" x14ac:dyDescent="0.25">
      <c r="A7" t="s">
        <v>197</v>
      </c>
      <c r="B7" s="4">
        <v>85.639649149653039</v>
      </c>
      <c r="C7" s="4">
        <f t="shared" si="1"/>
        <v>4.4501483669084783</v>
      </c>
      <c r="D7" s="3"/>
      <c r="E7" s="3" t="str">
        <f t="shared" si="0"/>
        <v>1993-06</v>
      </c>
      <c r="F7" s="1">
        <v>-6.9290000000000003</v>
      </c>
      <c r="G7" s="3"/>
      <c r="H7" s="3"/>
      <c r="I7" s="3"/>
      <c r="J7" s="3"/>
      <c r="K7" s="3"/>
      <c r="L7" s="3"/>
      <c r="M7" s="3"/>
      <c r="N7" s="3"/>
      <c r="O7" s="3"/>
      <c r="P7" s="3"/>
    </row>
    <row r="8" spans="1:16" x14ac:dyDescent="0.25">
      <c r="A8" t="s">
        <v>198</v>
      </c>
      <c r="B8" s="4">
        <v>87.574974364926334</v>
      </c>
      <c r="C8" s="4">
        <f t="shared" si="1"/>
        <v>4.4724952763621415</v>
      </c>
      <c r="D8" s="3"/>
      <c r="E8" s="3" t="str">
        <f t="shared" si="0"/>
        <v>1993-07</v>
      </c>
      <c r="F8" s="1">
        <v>-6.3819999999999997</v>
      </c>
      <c r="G8" s="3"/>
      <c r="H8" s="3"/>
      <c r="I8" s="3"/>
      <c r="J8" s="3"/>
      <c r="K8" s="3"/>
      <c r="L8" s="3"/>
      <c r="M8" s="3"/>
      <c r="N8" s="3"/>
      <c r="O8" s="3"/>
      <c r="P8" s="3"/>
    </row>
    <row r="9" spans="1:16" x14ac:dyDescent="0.25">
      <c r="A9" t="s">
        <v>199</v>
      </c>
      <c r="B9" s="4">
        <v>87.870217093130336</v>
      </c>
      <c r="C9" s="4">
        <f t="shared" si="1"/>
        <v>4.4758609201218658</v>
      </c>
      <c r="D9" s="3"/>
      <c r="E9" s="3" t="str">
        <f t="shared" si="0"/>
        <v>1993-08</v>
      </c>
      <c r="F9" s="1">
        <v>-5.5810000000000004</v>
      </c>
      <c r="G9" s="3"/>
      <c r="H9" s="3"/>
      <c r="I9" s="3"/>
      <c r="J9" s="3"/>
      <c r="K9" s="3"/>
      <c r="L9" s="3"/>
      <c r="M9" s="3"/>
      <c r="N9" s="3"/>
      <c r="O9" s="3"/>
      <c r="P9" s="3"/>
    </row>
    <row r="10" spans="1:16" x14ac:dyDescent="0.25">
      <c r="A10" t="s">
        <v>200</v>
      </c>
      <c r="B10" s="4">
        <v>86.007471864827096</v>
      </c>
      <c r="C10" s="4">
        <f t="shared" si="1"/>
        <v>4.4544341746286245</v>
      </c>
      <c r="D10" s="3"/>
      <c r="E10" s="3" t="str">
        <f t="shared" si="0"/>
        <v>1993-09</v>
      </c>
      <c r="F10" s="1">
        <v>-7.0309999999999997</v>
      </c>
      <c r="G10" s="3"/>
      <c r="H10" s="3"/>
      <c r="I10" s="3"/>
      <c r="J10" s="3"/>
      <c r="K10" s="3"/>
      <c r="L10" s="3"/>
      <c r="M10" s="3"/>
      <c r="N10" s="3"/>
      <c r="O10" s="3"/>
      <c r="P10" s="3"/>
    </row>
    <row r="11" spans="1:16" x14ac:dyDescent="0.25">
      <c r="A11" t="s">
        <v>201</v>
      </c>
      <c r="B11" s="4">
        <v>87.075803844581714</v>
      </c>
      <c r="C11" s="4">
        <f t="shared" si="1"/>
        <v>4.4667790478440415</v>
      </c>
      <c r="D11" s="3"/>
      <c r="E11" s="3" t="str">
        <f t="shared" si="0"/>
        <v>1993-10</v>
      </c>
      <c r="F11" s="1">
        <v>-6.5940000000000003</v>
      </c>
      <c r="G11" s="3"/>
      <c r="H11" s="3"/>
      <c r="I11" s="3"/>
      <c r="J11" s="3"/>
      <c r="K11" s="3"/>
      <c r="L11" s="3"/>
      <c r="M11" s="3"/>
      <c r="N11" s="3"/>
      <c r="O11" s="3"/>
      <c r="P11" s="3"/>
    </row>
    <row r="12" spans="1:16" x14ac:dyDescent="0.25">
      <c r="A12" t="s">
        <v>202</v>
      </c>
      <c r="B12" s="4">
        <v>88.335492363456879</v>
      </c>
      <c r="C12" s="4">
        <f t="shared" si="1"/>
        <v>4.4811419788698705</v>
      </c>
      <c r="D12" s="3"/>
      <c r="E12" s="3" t="str">
        <f t="shared" si="0"/>
        <v>1993-11</v>
      </c>
      <c r="F12" s="1">
        <v>-7.016</v>
      </c>
      <c r="G12" s="3"/>
      <c r="H12" s="3"/>
      <c r="I12" s="3"/>
      <c r="J12" s="3"/>
      <c r="K12" s="3"/>
      <c r="L12" s="16"/>
      <c r="M12" s="3"/>
      <c r="N12" s="3"/>
      <c r="O12" s="3"/>
      <c r="P12" s="3"/>
    </row>
    <row r="13" spans="1:16" x14ac:dyDescent="0.25">
      <c r="A13" t="s">
        <v>203</v>
      </c>
      <c r="B13" s="4">
        <v>89.112308120423137</v>
      </c>
      <c r="C13" s="4">
        <f t="shared" si="1"/>
        <v>4.4898974632129045</v>
      </c>
      <c r="D13" s="3"/>
      <c r="E13" s="3" t="str">
        <f t="shared" si="0"/>
        <v>1993-12</v>
      </c>
      <c r="F13" s="1">
        <v>-5.7190000000000003</v>
      </c>
      <c r="G13" s="3"/>
      <c r="H13" s="3"/>
      <c r="I13" s="3"/>
      <c r="J13" s="3"/>
      <c r="K13" s="3"/>
      <c r="L13" s="3"/>
      <c r="M13" s="3"/>
      <c r="N13" s="3"/>
      <c r="O13" s="3"/>
      <c r="P13" s="3"/>
    </row>
    <row r="14" spans="1:16" x14ac:dyDescent="0.25">
      <c r="A14" t="s">
        <v>204</v>
      </c>
      <c r="B14" s="4">
        <v>89.488551149407982</v>
      </c>
      <c r="C14" s="4">
        <f t="shared" si="1"/>
        <v>4.4941106969799867</v>
      </c>
      <c r="D14" s="3"/>
      <c r="E14" s="3" t="str">
        <f t="shared" si="0"/>
        <v>1994-01</v>
      </c>
      <c r="F14" s="1">
        <v>-6.2069999999999999</v>
      </c>
      <c r="G14" s="3"/>
      <c r="H14" s="3"/>
      <c r="I14" s="3"/>
      <c r="J14" s="3"/>
      <c r="K14" s="3"/>
      <c r="L14" s="7"/>
      <c r="M14" s="3"/>
      <c r="N14" s="3"/>
      <c r="O14" s="3"/>
      <c r="P14" s="3"/>
    </row>
    <row r="15" spans="1:16" x14ac:dyDescent="0.25">
      <c r="A15" t="s">
        <v>205</v>
      </c>
      <c r="B15" s="4">
        <v>88.851149168422467</v>
      </c>
      <c r="C15" s="4">
        <f t="shared" si="1"/>
        <v>4.4869624883203114</v>
      </c>
      <c r="D15" s="3"/>
      <c r="E15" s="3" t="str">
        <f t="shared" si="0"/>
        <v>1994-02</v>
      </c>
      <c r="F15" s="1">
        <v>-9.2449999999999992</v>
      </c>
      <c r="G15" s="3"/>
      <c r="H15" s="3"/>
      <c r="I15" s="3"/>
      <c r="J15" s="3"/>
      <c r="K15" s="3"/>
      <c r="L15" s="7"/>
      <c r="M15" s="3"/>
      <c r="N15" s="3"/>
      <c r="O15" s="3"/>
      <c r="P15" s="3"/>
    </row>
    <row r="16" spans="1:16" x14ac:dyDescent="0.25">
      <c r="A16" t="s">
        <v>206</v>
      </c>
      <c r="B16" s="4">
        <v>88.605019143558025</v>
      </c>
      <c r="C16" s="4">
        <f t="shared" si="1"/>
        <v>4.4841885054823383</v>
      </c>
      <c r="D16" s="3"/>
      <c r="E16" s="3" t="str">
        <f t="shared" si="0"/>
        <v>1994-03</v>
      </c>
      <c r="F16" s="1">
        <v>-6.4660000000000002</v>
      </c>
      <c r="G16" s="3"/>
      <c r="H16" s="3"/>
      <c r="I16" s="3"/>
      <c r="J16" s="3"/>
      <c r="K16" s="3"/>
      <c r="L16" s="3"/>
      <c r="M16" s="3"/>
      <c r="N16" s="3"/>
      <c r="O16" s="3"/>
      <c r="P16" s="3"/>
    </row>
    <row r="17" spans="1:16" x14ac:dyDescent="0.25">
      <c r="A17" t="s">
        <v>207</v>
      </c>
      <c r="B17" s="4">
        <v>88.894084270247276</v>
      </c>
      <c r="C17" s="4">
        <f t="shared" si="1"/>
        <v>4.4874455966639699</v>
      </c>
      <c r="D17" s="3"/>
      <c r="E17" s="3" t="str">
        <f t="shared" si="0"/>
        <v>1994-04</v>
      </c>
      <c r="F17" s="1">
        <v>-7.8869999999999996</v>
      </c>
      <c r="G17" s="3"/>
      <c r="H17" s="3"/>
      <c r="I17" s="3"/>
      <c r="O17" s="3"/>
      <c r="P17" s="3"/>
    </row>
    <row r="18" spans="1:16" ht="13" x14ac:dyDescent="0.3">
      <c r="A18" s="6" t="s">
        <v>208</v>
      </c>
      <c r="B18" s="4">
        <v>88.070502887307001</v>
      </c>
      <c r="C18" s="4">
        <f t="shared" si="1"/>
        <v>4.4781376628874403</v>
      </c>
      <c r="D18" s="3"/>
      <c r="E18" s="3" t="str">
        <f t="shared" si="0"/>
        <v>1994-05</v>
      </c>
      <c r="F18" s="1">
        <v>-7.7279999999999998</v>
      </c>
      <c r="G18" s="3">
        <f>SUM(F7:F18)</f>
        <v>-82.784999999999982</v>
      </c>
      <c r="H18" s="3"/>
      <c r="I18" s="6">
        <v>34455</v>
      </c>
      <c r="J18" s="4">
        <f t="shared" ref="J18:J49" si="2">G18</f>
        <v>-82.784999999999982</v>
      </c>
      <c r="K18" s="4">
        <f>'TIC data'!AM221</f>
        <v>-34.052</v>
      </c>
      <c r="L18" s="8">
        <f t="shared" ref="L18:L49" si="3">G18+K18</f>
        <v>-116.83699999999999</v>
      </c>
      <c r="M18" s="4"/>
      <c r="N18" s="3"/>
      <c r="O18" s="3"/>
      <c r="P18" s="3"/>
    </row>
    <row r="19" spans="1:16" ht="13" x14ac:dyDescent="0.3">
      <c r="A19" t="s">
        <v>209</v>
      </c>
      <c r="B19" s="4">
        <v>87.219606975863385</v>
      </c>
      <c r="C19" s="4">
        <f t="shared" si="1"/>
        <v>4.4684291562804521</v>
      </c>
      <c r="D19" s="3"/>
      <c r="E19" s="3" t="str">
        <f t="shared" si="0"/>
        <v>1994-06</v>
      </c>
      <c r="F19" s="1">
        <v>-8.3800000000000008</v>
      </c>
      <c r="G19" s="3">
        <f t="shared" ref="G19:G82" si="4">SUM(F8:F19)</f>
        <v>-84.23599999999999</v>
      </c>
      <c r="H19" s="3"/>
      <c r="I19" s="6">
        <v>34486</v>
      </c>
      <c r="J19" s="4">
        <f t="shared" si="2"/>
        <v>-84.23599999999999</v>
      </c>
      <c r="K19" s="4">
        <f>'TIC data'!AM222</f>
        <v>-23.057999999999996</v>
      </c>
      <c r="L19" s="8">
        <f t="shared" si="3"/>
        <v>-107.29399999999998</v>
      </c>
      <c r="M19" s="4"/>
      <c r="N19" s="3"/>
      <c r="O19" s="3"/>
      <c r="P19" s="3"/>
    </row>
    <row r="20" spans="1:16" ht="13" x14ac:dyDescent="0.3">
      <c r="A20" t="s">
        <v>210</v>
      </c>
      <c r="B20" s="4">
        <v>85.18622199370455</v>
      </c>
      <c r="C20" s="4">
        <f t="shared" si="1"/>
        <v>4.4448397070692875</v>
      </c>
      <c r="D20" s="3"/>
      <c r="E20" s="3" t="str">
        <f t="shared" si="0"/>
        <v>1994-07</v>
      </c>
      <c r="F20" s="1">
        <v>-8.7390000000000008</v>
      </c>
      <c r="G20" s="3">
        <f t="shared" si="4"/>
        <v>-86.593000000000004</v>
      </c>
      <c r="H20" s="3"/>
      <c r="I20" s="6">
        <v>34516</v>
      </c>
      <c r="J20" s="4">
        <f t="shared" si="2"/>
        <v>-86.593000000000004</v>
      </c>
      <c r="K20" s="4">
        <f>'TIC data'!AM223</f>
        <v>-7.3410000000000046</v>
      </c>
      <c r="L20" s="8">
        <f t="shared" si="3"/>
        <v>-93.934000000000012</v>
      </c>
      <c r="M20" s="4"/>
      <c r="N20" s="3"/>
      <c r="O20" s="3"/>
      <c r="P20" s="3"/>
    </row>
    <row r="21" spans="1:16" ht="13" x14ac:dyDescent="0.3">
      <c r="A21" t="s">
        <v>211</v>
      </c>
      <c r="B21" s="4">
        <v>85.416171167449434</v>
      </c>
      <c r="C21" s="4">
        <f t="shared" si="1"/>
        <v>4.4475354408012366</v>
      </c>
      <c r="D21" s="3"/>
      <c r="E21" s="3" t="str">
        <f t="shared" si="0"/>
        <v>1994-08</v>
      </c>
      <c r="F21" s="1">
        <v>-8.3030000000000008</v>
      </c>
      <c r="G21" s="3">
        <f t="shared" si="4"/>
        <v>-89.314999999999998</v>
      </c>
      <c r="H21" s="3"/>
      <c r="I21" s="6">
        <v>34547</v>
      </c>
      <c r="J21" s="4">
        <f t="shared" si="2"/>
        <v>-89.314999999999998</v>
      </c>
      <c r="K21" s="4">
        <f>'TIC data'!AM224</f>
        <v>4.8869999999999933</v>
      </c>
      <c r="L21" s="8">
        <f t="shared" si="3"/>
        <v>-84.427999999999997</v>
      </c>
      <c r="M21" s="4"/>
      <c r="N21" s="3"/>
      <c r="O21" s="3"/>
      <c r="P21" s="3"/>
    </row>
    <row r="22" spans="1:16" ht="13" x14ac:dyDescent="0.3">
      <c r="A22" t="s">
        <v>212</v>
      </c>
      <c r="B22" s="4">
        <v>84.394201887164243</v>
      </c>
      <c r="C22" s="4">
        <f t="shared" si="1"/>
        <v>4.4354987012227136</v>
      </c>
      <c r="D22" s="3"/>
      <c r="E22" s="3" t="str">
        <f t="shared" si="0"/>
        <v>1994-09</v>
      </c>
      <c r="F22" s="1">
        <v>-8.31</v>
      </c>
      <c r="G22" s="3">
        <f t="shared" si="4"/>
        <v>-90.594000000000008</v>
      </c>
      <c r="H22" s="3"/>
      <c r="I22" s="6">
        <v>34578</v>
      </c>
      <c r="J22" s="4">
        <f t="shared" si="2"/>
        <v>-90.594000000000008</v>
      </c>
      <c r="K22" s="4">
        <f>'TIC data'!AM225</f>
        <v>13.683999999999983</v>
      </c>
      <c r="L22" s="8">
        <f t="shared" si="3"/>
        <v>-76.910000000000025</v>
      </c>
      <c r="M22" s="4"/>
      <c r="N22" s="3"/>
      <c r="O22" s="3"/>
      <c r="P22" s="3"/>
    </row>
    <row r="23" spans="1:16" ht="13" x14ac:dyDescent="0.3">
      <c r="A23" t="s">
        <v>213</v>
      </c>
      <c r="B23" s="4">
        <v>83.549116805266252</v>
      </c>
      <c r="C23" s="4">
        <f t="shared" si="1"/>
        <v>4.4254346841329424</v>
      </c>
      <c r="D23" s="3"/>
      <c r="E23" s="3" t="str">
        <f t="shared" si="0"/>
        <v>1994-10</v>
      </c>
      <c r="F23" s="1">
        <v>-9.1579999999999995</v>
      </c>
      <c r="G23" s="3">
        <f t="shared" si="4"/>
        <v>-93.158000000000001</v>
      </c>
      <c r="H23" s="3"/>
      <c r="I23" s="6">
        <v>34608</v>
      </c>
      <c r="J23" s="4">
        <f t="shared" si="2"/>
        <v>-93.158000000000001</v>
      </c>
      <c r="K23" s="4">
        <f>'TIC data'!AM226</f>
        <v>5.4859999999999758</v>
      </c>
      <c r="L23" s="8">
        <f t="shared" si="3"/>
        <v>-87.672000000000025</v>
      </c>
      <c r="M23" s="4"/>
      <c r="N23" s="3"/>
      <c r="O23" s="3"/>
      <c r="P23" s="3"/>
    </row>
    <row r="24" spans="1:16" ht="13" x14ac:dyDescent="0.3">
      <c r="A24" t="s">
        <v>214</v>
      </c>
      <c r="B24" s="4">
        <v>84.429999283654368</v>
      </c>
      <c r="C24" s="4">
        <f t="shared" si="1"/>
        <v>4.4359227801969165</v>
      </c>
      <c r="D24" s="3"/>
      <c r="E24" s="3" t="str">
        <f t="shared" si="0"/>
        <v>1994-11</v>
      </c>
      <c r="F24" s="1">
        <v>-9.6150000000000002</v>
      </c>
      <c r="G24" s="3">
        <f t="shared" si="4"/>
        <v>-95.757000000000005</v>
      </c>
      <c r="H24" s="3"/>
      <c r="I24" s="6">
        <v>34639</v>
      </c>
      <c r="J24" s="4">
        <f t="shared" si="2"/>
        <v>-95.757000000000005</v>
      </c>
      <c r="K24" s="4">
        <f>'TIC data'!AM227</f>
        <v>2.4560000000000031</v>
      </c>
      <c r="L24" s="8">
        <f t="shared" si="3"/>
        <v>-93.301000000000002</v>
      </c>
      <c r="M24" s="4"/>
      <c r="N24" s="3"/>
      <c r="O24" s="3"/>
      <c r="P24" s="3"/>
    </row>
    <row r="25" spans="1:16" ht="13" x14ac:dyDescent="0.3">
      <c r="A25" t="s">
        <v>215</v>
      </c>
      <c r="B25" s="4">
        <v>85.969922484231319</v>
      </c>
      <c r="C25" s="4">
        <f t="shared" si="1"/>
        <v>4.4539974965252656</v>
      </c>
      <c r="D25" s="3"/>
      <c r="E25" s="3" t="str">
        <f t="shared" si="0"/>
        <v>1994-12</v>
      </c>
      <c r="F25" s="1">
        <v>-8.4559999999999995</v>
      </c>
      <c r="G25" s="3">
        <f t="shared" si="4"/>
        <v>-98.494</v>
      </c>
      <c r="H25" s="3"/>
      <c r="I25" s="6">
        <v>34669</v>
      </c>
      <c r="J25" s="4">
        <f t="shared" si="2"/>
        <v>-98.494</v>
      </c>
      <c r="K25" s="4">
        <f>'TIC data'!AM228</f>
        <v>4.2540000000000191</v>
      </c>
      <c r="L25" s="8">
        <f t="shared" si="3"/>
        <v>-94.239999999999981</v>
      </c>
      <c r="M25" s="4"/>
      <c r="N25" s="3"/>
      <c r="O25" s="3"/>
      <c r="P25" s="3"/>
    </row>
    <row r="26" spans="1:16" ht="13" x14ac:dyDescent="0.3">
      <c r="A26" t="s">
        <v>216</v>
      </c>
      <c r="B26" s="4">
        <v>85.622732659038348</v>
      </c>
      <c r="C26" s="4">
        <f t="shared" si="1"/>
        <v>4.4499508163373482</v>
      </c>
      <c r="D26" s="3"/>
      <c r="E26" s="3" t="str">
        <f t="shared" si="0"/>
        <v>1995-01</v>
      </c>
      <c r="F26" s="1">
        <v>-9.3239999999999998</v>
      </c>
      <c r="G26" s="3">
        <f t="shared" si="4"/>
        <v>-101.611</v>
      </c>
      <c r="H26" s="3"/>
      <c r="I26" s="6">
        <v>34700</v>
      </c>
      <c r="J26" s="4">
        <f t="shared" si="2"/>
        <v>-101.611</v>
      </c>
      <c r="K26" s="4">
        <f>'TIC data'!AM229</f>
        <v>13.226000000000013</v>
      </c>
      <c r="L26" s="8">
        <f t="shared" si="3"/>
        <v>-88.384999999999991</v>
      </c>
      <c r="M26" s="4"/>
      <c r="N26" s="3"/>
      <c r="O26" s="3"/>
      <c r="P26" s="3"/>
    </row>
    <row r="27" spans="1:16" ht="13" x14ac:dyDescent="0.3">
      <c r="A27" t="s">
        <v>217</v>
      </c>
      <c r="B27" s="4">
        <v>84.722707655963944</v>
      </c>
      <c r="C27" s="4">
        <f t="shared" si="1"/>
        <v>4.4393836608386712</v>
      </c>
      <c r="D27" s="3"/>
      <c r="E27" s="3" t="str">
        <f t="shared" si="0"/>
        <v>1995-02</v>
      </c>
      <c r="F27" s="1">
        <v>-8.8170000000000002</v>
      </c>
      <c r="G27" s="3">
        <f t="shared" si="4"/>
        <v>-101.18299999999999</v>
      </c>
      <c r="H27" s="3"/>
      <c r="I27" s="6">
        <v>34731</v>
      </c>
      <c r="J27" s="4">
        <f t="shared" si="2"/>
        <v>-101.18299999999999</v>
      </c>
      <c r="K27" s="4">
        <f>'TIC data'!AM230</f>
        <v>18.899000000000001</v>
      </c>
      <c r="L27" s="8">
        <f t="shared" si="3"/>
        <v>-82.283999999999992</v>
      </c>
      <c r="M27" s="4"/>
      <c r="N27" s="3"/>
      <c r="O27" s="3"/>
      <c r="P27" s="3"/>
    </row>
    <row r="28" spans="1:16" ht="13" x14ac:dyDescent="0.3">
      <c r="A28" t="s">
        <v>218</v>
      </c>
      <c r="B28" s="4">
        <v>81.970608302094192</v>
      </c>
      <c r="C28" s="4">
        <f t="shared" si="1"/>
        <v>4.4063607476706377</v>
      </c>
      <c r="D28" s="3"/>
      <c r="E28" s="3" t="str">
        <f t="shared" si="0"/>
        <v>1995-03</v>
      </c>
      <c r="F28" s="1">
        <v>-9.7080000000000002</v>
      </c>
      <c r="G28" s="3">
        <f t="shared" si="4"/>
        <v>-104.42499999999998</v>
      </c>
      <c r="H28" s="3"/>
      <c r="I28" s="6">
        <v>34759</v>
      </c>
      <c r="J28" s="4">
        <f t="shared" si="2"/>
        <v>-104.42499999999998</v>
      </c>
      <c r="K28" s="4">
        <f>'TIC data'!AM231</f>
        <v>10.775999999999982</v>
      </c>
      <c r="L28" s="8">
        <f t="shared" si="3"/>
        <v>-93.649000000000001</v>
      </c>
      <c r="M28" s="4"/>
      <c r="N28" s="3"/>
      <c r="O28" s="3"/>
      <c r="P28" s="3"/>
    </row>
    <row r="29" spans="1:16" ht="13" x14ac:dyDescent="0.3">
      <c r="A29" t="s">
        <v>219</v>
      </c>
      <c r="B29" s="4">
        <v>80.011423826247551</v>
      </c>
      <c r="C29" s="4">
        <f t="shared" si="1"/>
        <v>4.3821694223073369</v>
      </c>
      <c r="D29" s="3"/>
      <c r="E29" s="3" t="str">
        <f t="shared" si="0"/>
        <v>1995-04</v>
      </c>
      <c r="F29" s="1">
        <v>-9.609</v>
      </c>
      <c r="G29" s="3">
        <f t="shared" si="4"/>
        <v>-106.14700000000001</v>
      </c>
      <c r="H29" s="3"/>
      <c r="I29" s="6">
        <v>34790</v>
      </c>
      <c r="J29" s="4">
        <f t="shared" si="2"/>
        <v>-106.14700000000001</v>
      </c>
      <c r="K29" s="4">
        <f>'TIC data'!AM232</f>
        <v>18.433000000000035</v>
      </c>
      <c r="L29" s="8">
        <f t="shared" si="3"/>
        <v>-87.71399999999997</v>
      </c>
      <c r="M29" s="4"/>
      <c r="N29" s="3"/>
      <c r="O29" s="3"/>
      <c r="P29" s="3"/>
    </row>
    <row r="30" spans="1:16" ht="13" x14ac:dyDescent="0.3">
      <c r="A30" t="s">
        <v>220</v>
      </c>
      <c r="B30" s="4">
        <v>80.83289854917777</v>
      </c>
      <c r="C30" s="4">
        <f t="shared" si="1"/>
        <v>4.3923840429219041</v>
      </c>
      <c r="D30" s="3"/>
      <c r="E30" s="3" t="str">
        <f t="shared" si="0"/>
        <v>1995-05</v>
      </c>
      <c r="F30" s="1">
        <v>-9.09</v>
      </c>
      <c r="G30" s="3">
        <f t="shared" si="4"/>
        <v>-107.509</v>
      </c>
      <c r="H30" s="3"/>
      <c r="I30" s="6">
        <v>34820</v>
      </c>
      <c r="J30" s="4">
        <f t="shared" si="2"/>
        <v>-107.509</v>
      </c>
      <c r="K30" s="4">
        <f>'TIC data'!AM233</f>
        <v>15.272999999999982</v>
      </c>
      <c r="L30" s="8">
        <f t="shared" si="3"/>
        <v>-92.236000000000018</v>
      </c>
      <c r="M30" s="4"/>
      <c r="N30" s="3"/>
      <c r="O30" s="3"/>
      <c r="P30" s="3"/>
    </row>
    <row r="31" spans="1:16" ht="13" x14ac:dyDescent="0.3">
      <c r="A31" t="s">
        <v>221</v>
      </c>
      <c r="B31" s="4">
        <v>80.471139308972852</v>
      </c>
      <c r="C31" s="4">
        <f t="shared" si="1"/>
        <v>4.3878986022406519</v>
      </c>
      <c r="D31" s="3"/>
      <c r="E31" s="3" t="str">
        <f t="shared" si="0"/>
        <v>1995-06</v>
      </c>
      <c r="F31" s="1">
        <v>-10.622999999999999</v>
      </c>
      <c r="G31" s="3">
        <f t="shared" si="4"/>
        <v>-109.75200000000001</v>
      </c>
      <c r="H31" s="3"/>
      <c r="I31" s="6">
        <v>34851</v>
      </c>
      <c r="J31" s="4">
        <f t="shared" si="2"/>
        <v>-109.75200000000001</v>
      </c>
      <c r="K31" s="4">
        <f>'TIC data'!AM234</f>
        <v>10.379999999999967</v>
      </c>
      <c r="L31" s="8">
        <f t="shared" si="3"/>
        <v>-99.372000000000043</v>
      </c>
      <c r="M31" s="4"/>
      <c r="N31" s="3"/>
      <c r="O31" s="3"/>
      <c r="P31" s="3"/>
    </row>
    <row r="32" spans="1:16" ht="13" x14ac:dyDescent="0.3">
      <c r="A32" t="s">
        <v>222</v>
      </c>
      <c r="B32" s="4">
        <v>80.198112247239493</v>
      </c>
      <c r="C32" s="4">
        <f t="shared" si="1"/>
        <v>4.3844999765310986</v>
      </c>
      <c r="D32" s="3"/>
      <c r="E32" s="3" t="str">
        <f t="shared" si="0"/>
        <v>1995-07</v>
      </c>
      <c r="F32" s="1">
        <v>-7.6879999999999997</v>
      </c>
      <c r="G32" s="3">
        <f t="shared" si="4"/>
        <v>-108.70100000000001</v>
      </c>
      <c r="H32" s="3"/>
      <c r="I32" s="6">
        <v>34881</v>
      </c>
      <c r="J32" s="4">
        <f t="shared" si="2"/>
        <v>-108.70100000000001</v>
      </c>
      <c r="K32" s="4">
        <f>'TIC data'!AM235</f>
        <v>11.205999999999989</v>
      </c>
      <c r="L32" s="8">
        <f t="shared" si="3"/>
        <v>-97.495000000000019</v>
      </c>
      <c r="M32" s="4"/>
      <c r="N32" s="3"/>
      <c r="O32" s="3"/>
      <c r="P32" s="3"/>
    </row>
    <row r="33" spans="1:16" ht="13" x14ac:dyDescent="0.3">
      <c r="A33" t="s">
        <v>223</v>
      </c>
      <c r="B33" s="4">
        <v>82.733285128722528</v>
      </c>
      <c r="C33" s="4">
        <f t="shared" si="1"/>
        <v>4.4156220014518146</v>
      </c>
      <c r="D33" s="3"/>
      <c r="E33" s="3" t="str">
        <f t="shared" si="0"/>
        <v>1995-08</v>
      </c>
      <c r="F33" s="1">
        <v>-6.7039999999999997</v>
      </c>
      <c r="G33" s="3">
        <f t="shared" si="4"/>
        <v>-107.102</v>
      </c>
      <c r="H33" s="3"/>
      <c r="I33" s="6">
        <v>34912</v>
      </c>
      <c r="J33" s="4">
        <f t="shared" si="2"/>
        <v>-107.102</v>
      </c>
      <c r="K33" s="4">
        <f>'TIC data'!AM236</f>
        <v>5.7179999999999893</v>
      </c>
      <c r="L33" s="8">
        <f t="shared" si="3"/>
        <v>-101.38400000000001</v>
      </c>
      <c r="M33" s="4"/>
      <c r="N33" s="3"/>
      <c r="O33" s="3"/>
      <c r="P33" s="3"/>
    </row>
    <row r="34" spans="1:16" ht="13" x14ac:dyDescent="0.3">
      <c r="A34" t="s">
        <v>224</v>
      </c>
      <c r="B34" s="4">
        <v>83.662731049805089</v>
      </c>
      <c r="C34" s="4">
        <f t="shared" si="1"/>
        <v>4.4267936101119369</v>
      </c>
      <c r="D34" s="3"/>
      <c r="E34" s="3" t="str">
        <f t="shared" ref="E34:E65" si="5">A34</f>
        <v>1995-09</v>
      </c>
      <c r="F34" s="1">
        <v>-5.9240000000000004</v>
      </c>
      <c r="G34" s="3">
        <f t="shared" si="4"/>
        <v>-104.71600000000001</v>
      </c>
      <c r="H34" s="3"/>
      <c r="I34" s="6">
        <v>34943</v>
      </c>
      <c r="J34" s="4">
        <f t="shared" si="2"/>
        <v>-104.71600000000001</v>
      </c>
      <c r="K34" s="4">
        <f>'TIC data'!AM237</f>
        <v>2.4029999999999916</v>
      </c>
      <c r="L34" s="8">
        <f t="shared" si="3"/>
        <v>-102.31300000000002</v>
      </c>
      <c r="M34" s="4"/>
      <c r="N34" s="3"/>
      <c r="O34" s="3"/>
      <c r="P34" s="3"/>
    </row>
    <row r="35" spans="1:16" ht="13" x14ac:dyDescent="0.3">
      <c r="A35" t="s">
        <v>225</v>
      </c>
      <c r="B35" s="4">
        <v>82.621948827438061</v>
      </c>
      <c r="C35" s="4">
        <f t="shared" si="1"/>
        <v>4.414275369531607</v>
      </c>
      <c r="D35" s="3"/>
      <c r="E35" s="3" t="str">
        <f t="shared" si="5"/>
        <v>1995-10</v>
      </c>
      <c r="F35" s="1">
        <v>-6.1139999999999999</v>
      </c>
      <c r="G35" s="3">
        <f t="shared" si="4"/>
        <v>-101.67200000000001</v>
      </c>
      <c r="H35" s="3"/>
      <c r="I35" s="6">
        <v>34973</v>
      </c>
      <c r="J35" s="4">
        <f t="shared" si="2"/>
        <v>-101.67200000000001</v>
      </c>
      <c r="K35" s="4">
        <f>'TIC data'!AM238</f>
        <v>3.2779999999999916</v>
      </c>
      <c r="L35" s="8">
        <f t="shared" si="3"/>
        <v>-98.39400000000002</v>
      </c>
      <c r="M35" s="4"/>
      <c r="N35" s="3"/>
      <c r="O35" s="3"/>
      <c r="P35" s="3"/>
    </row>
    <row r="36" spans="1:16" ht="13" x14ac:dyDescent="0.3">
      <c r="A36" t="s">
        <v>226</v>
      </c>
      <c r="B36" s="4">
        <v>82.508630652636114</v>
      </c>
      <c r="C36" s="4">
        <f t="shared" si="1"/>
        <v>4.4129029018403223</v>
      </c>
      <c r="D36" s="3"/>
      <c r="E36" s="3" t="str">
        <f t="shared" si="5"/>
        <v>1995-11</v>
      </c>
      <c r="F36" s="1">
        <v>-6.5140000000000002</v>
      </c>
      <c r="G36" s="3">
        <f t="shared" si="4"/>
        <v>-98.571000000000012</v>
      </c>
      <c r="H36" s="3"/>
      <c r="I36" s="6">
        <v>35004</v>
      </c>
      <c r="J36" s="4">
        <f t="shared" si="2"/>
        <v>-98.571000000000012</v>
      </c>
      <c r="K36" s="4">
        <f>'TIC data'!AM239</f>
        <v>6.98599999999999</v>
      </c>
      <c r="L36" s="8">
        <f t="shared" si="3"/>
        <v>-91.585000000000022</v>
      </c>
      <c r="M36" s="4"/>
      <c r="N36" s="3"/>
      <c r="O36" s="3"/>
      <c r="P36" s="3"/>
    </row>
    <row r="37" spans="1:16" ht="13" x14ac:dyDescent="0.3">
      <c r="A37" t="s">
        <v>227</v>
      </c>
      <c r="B37" s="4">
        <v>83.535970457007707</v>
      </c>
      <c r="C37" s="4">
        <f t="shared" si="1"/>
        <v>4.4252773230123177</v>
      </c>
      <c r="D37" s="3"/>
      <c r="E37" s="3" t="str">
        <f t="shared" si="5"/>
        <v>1995-12</v>
      </c>
      <c r="F37" s="1">
        <v>-6.2709999999999999</v>
      </c>
      <c r="G37" s="3">
        <f t="shared" si="4"/>
        <v>-96.385999999999996</v>
      </c>
      <c r="H37" s="3"/>
      <c r="I37" s="6">
        <v>35034</v>
      </c>
      <c r="J37" s="4">
        <f t="shared" si="2"/>
        <v>-96.385999999999996</v>
      </c>
      <c r="K37" s="4">
        <f>'TIC data'!AM240</f>
        <v>-0.87399999999999523</v>
      </c>
      <c r="L37" s="8">
        <f t="shared" si="3"/>
        <v>-97.259999999999991</v>
      </c>
      <c r="M37" s="4"/>
      <c r="N37" s="3"/>
      <c r="O37" s="3"/>
      <c r="P37" s="3"/>
    </row>
    <row r="38" spans="1:16" ht="13" x14ac:dyDescent="0.3">
      <c r="A38" t="s">
        <v>228</v>
      </c>
      <c r="B38" s="4">
        <v>84.054399611273382</v>
      </c>
      <c r="C38" s="4">
        <f t="shared" si="1"/>
        <v>4.4314642036515099</v>
      </c>
      <c r="D38" s="3"/>
      <c r="E38" s="3" t="str">
        <f t="shared" si="5"/>
        <v>1996-01</v>
      </c>
      <c r="F38" s="1">
        <v>-8.4649999999999999</v>
      </c>
      <c r="G38" s="3">
        <f t="shared" si="4"/>
        <v>-95.527000000000015</v>
      </c>
      <c r="H38" s="3"/>
      <c r="I38" s="6">
        <v>35065</v>
      </c>
      <c r="J38" s="4">
        <f t="shared" si="2"/>
        <v>-95.527000000000015</v>
      </c>
      <c r="K38" s="4">
        <f>'TIC data'!AM241</f>
        <v>-7.3930000000000007</v>
      </c>
      <c r="L38" s="8">
        <f t="shared" si="3"/>
        <v>-102.92000000000002</v>
      </c>
      <c r="M38" s="4"/>
      <c r="N38" s="3"/>
      <c r="O38" s="3"/>
      <c r="P38" s="3"/>
    </row>
    <row r="39" spans="1:16" ht="13" x14ac:dyDescent="0.3">
      <c r="A39" t="s">
        <v>229</v>
      </c>
      <c r="B39" s="4">
        <v>84.713620774638969</v>
      </c>
      <c r="C39" s="4">
        <f t="shared" si="1"/>
        <v>4.4392764007083567</v>
      </c>
      <c r="D39" s="3"/>
      <c r="E39" s="3" t="str">
        <f t="shared" si="5"/>
        <v>1996-02</v>
      </c>
      <c r="F39" s="1">
        <v>-7.319</v>
      </c>
      <c r="G39" s="3">
        <f t="shared" si="4"/>
        <v>-94.029000000000011</v>
      </c>
      <c r="H39" s="3"/>
      <c r="I39" s="6">
        <v>35096</v>
      </c>
      <c r="J39" s="4">
        <f t="shared" si="2"/>
        <v>-94.029000000000011</v>
      </c>
      <c r="K39" s="4">
        <f>'TIC data'!AM242</f>
        <v>-6.6500000000000341</v>
      </c>
      <c r="L39" s="8">
        <f t="shared" si="3"/>
        <v>-100.67900000000004</v>
      </c>
      <c r="M39" s="4"/>
      <c r="N39" s="3"/>
      <c r="O39" s="3"/>
      <c r="P39" s="3"/>
    </row>
    <row r="40" spans="1:16" ht="13" x14ac:dyDescent="0.3">
      <c r="A40" t="s">
        <v>230</v>
      </c>
      <c r="B40" s="4">
        <v>84.602350748314194</v>
      </c>
      <c r="C40" s="4">
        <f t="shared" si="1"/>
        <v>4.4379620528492358</v>
      </c>
      <c r="D40" s="3"/>
      <c r="E40" s="3" t="str">
        <f t="shared" si="5"/>
        <v>1996-03</v>
      </c>
      <c r="F40" s="1">
        <v>-7.7560000000000002</v>
      </c>
      <c r="G40" s="3">
        <f t="shared" si="4"/>
        <v>-92.076999999999998</v>
      </c>
      <c r="H40" s="3"/>
      <c r="I40" s="6">
        <v>35125</v>
      </c>
      <c r="J40" s="4">
        <f t="shared" si="2"/>
        <v>-92.076999999999998</v>
      </c>
      <c r="K40" s="4">
        <f>'TIC data'!AM243</f>
        <v>-14.926999999999992</v>
      </c>
      <c r="L40" s="8">
        <f t="shared" si="3"/>
        <v>-107.00399999999999</v>
      </c>
      <c r="M40" s="4"/>
      <c r="N40" s="3"/>
      <c r="O40" s="3"/>
      <c r="P40" s="3"/>
    </row>
    <row r="41" spans="1:16" ht="13" x14ac:dyDescent="0.3">
      <c r="A41" t="s">
        <v>231</v>
      </c>
      <c r="B41" s="4">
        <v>85.244495866459204</v>
      </c>
      <c r="C41" s="4">
        <f t="shared" si="1"/>
        <v>4.4455235494629273</v>
      </c>
      <c r="D41" s="3"/>
      <c r="E41" s="3" t="str">
        <f t="shared" si="5"/>
        <v>1996-04</v>
      </c>
      <c r="F41" s="1">
        <v>-8.7439999999999998</v>
      </c>
      <c r="G41" s="3">
        <f t="shared" si="4"/>
        <v>-91.212000000000003</v>
      </c>
      <c r="H41" s="3"/>
      <c r="I41" s="6">
        <v>35156</v>
      </c>
      <c r="J41" s="4">
        <f t="shared" si="2"/>
        <v>-91.212000000000003</v>
      </c>
      <c r="K41" s="4">
        <f>'TIC data'!AM244</f>
        <v>-13.926000000000016</v>
      </c>
      <c r="L41" s="8">
        <f t="shared" si="3"/>
        <v>-105.13800000000002</v>
      </c>
      <c r="M41" s="4"/>
      <c r="N41" s="3"/>
      <c r="O41" s="3"/>
      <c r="P41" s="3"/>
    </row>
    <row r="42" spans="1:16" ht="13" x14ac:dyDescent="0.3">
      <c r="A42" t="s">
        <v>232</v>
      </c>
      <c r="B42" s="4">
        <v>85.666487681602348</v>
      </c>
      <c r="C42" s="4">
        <f t="shared" si="1"/>
        <v>4.4504617069051102</v>
      </c>
      <c r="D42" s="3"/>
      <c r="E42" s="3" t="str">
        <f t="shared" si="5"/>
        <v>1996-05</v>
      </c>
      <c r="F42" s="1">
        <v>-9.2590000000000003</v>
      </c>
      <c r="G42" s="3">
        <f t="shared" si="4"/>
        <v>-91.381</v>
      </c>
      <c r="H42" s="3"/>
      <c r="I42" s="6">
        <v>35186</v>
      </c>
      <c r="J42" s="4">
        <f t="shared" si="2"/>
        <v>-91.381</v>
      </c>
      <c r="K42" s="4">
        <f>'TIC data'!AM245</f>
        <v>-5.8390000000000271</v>
      </c>
      <c r="L42" s="8">
        <f t="shared" si="3"/>
        <v>-97.220000000000027</v>
      </c>
      <c r="M42" s="4"/>
      <c r="N42" s="3"/>
      <c r="O42" s="3"/>
      <c r="P42" s="3"/>
    </row>
    <row r="43" spans="1:16" ht="13" x14ac:dyDescent="0.3">
      <c r="A43" t="s">
        <v>233</v>
      </c>
      <c r="B43" s="4">
        <v>85.654579101330327</v>
      </c>
      <c r="C43" s="4">
        <f t="shared" si="1"/>
        <v>4.4503226862870999</v>
      </c>
      <c r="D43" s="3"/>
      <c r="E43" s="3" t="str">
        <f t="shared" si="5"/>
        <v>1996-06</v>
      </c>
      <c r="F43" s="1">
        <v>-7.46</v>
      </c>
      <c r="G43" s="3">
        <f t="shared" si="4"/>
        <v>-88.218000000000004</v>
      </c>
      <c r="H43" s="3"/>
      <c r="I43" s="6">
        <v>35217</v>
      </c>
      <c r="J43" s="4">
        <f t="shared" si="2"/>
        <v>-88.218000000000004</v>
      </c>
      <c r="K43" s="4">
        <f>'TIC data'!AM246</f>
        <v>-5.5409999999999968</v>
      </c>
      <c r="L43" s="8">
        <f t="shared" si="3"/>
        <v>-93.759</v>
      </c>
      <c r="M43" s="4"/>
      <c r="N43" s="3"/>
      <c r="O43" s="3"/>
      <c r="P43" s="3"/>
    </row>
    <row r="44" spans="1:16" ht="13" x14ac:dyDescent="0.3">
      <c r="A44" t="s">
        <v>234</v>
      </c>
      <c r="B44" s="4">
        <v>85.557773449170583</v>
      </c>
      <c r="C44" s="4">
        <f t="shared" si="1"/>
        <v>4.4491918606073675</v>
      </c>
      <c r="D44" s="3"/>
      <c r="E44" s="3" t="str">
        <f t="shared" si="5"/>
        <v>1996-07</v>
      </c>
      <c r="F44" s="1">
        <v>-10.132</v>
      </c>
      <c r="G44" s="3">
        <f t="shared" si="4"/>
        <v>-90.662000000000006</v>
      </c>
      <c r="H44" s="3"/>
      <c r="I44" s="6">
        <v>35247</v>
      </c>
      <c r="J44" s="4">
        <f t="shared" si="2"/>
        <v>-90.662000000000006</v>
      </c>
      <c r="K44" s="4">
        <f>'TIC data'!AM247</f>
        <v>-6.7360000000000184</v>
      </c>
      <c r="L44" s="8">
        <f t="shared" si="3"/>
        <v>-97.398000000000025</v>
      </c>
      <c r="M44" s="4"/>
      <c r="N44" s="3"/>
      <c r="O44" s="3"/>
      <c r="P44" s="3"/>
    </row>
    <row r="45" spans="1:16" ht="13" x14ac:dyDescent="0.3">
      <c r="A45" t="s">
        <v>235</v>
      </c>
      <c r="B45" s="4">
        <v>84.854515204229742</v>
      </c>
      <c r="C45" s="4">
        <f t="shared" si="1"/>
        <v>4.4409382042211671</v>
      </c>
      <c r="D45" s="3"/>
      <c r="E45" s="3" t="str">
        <f t="shared" si="5"/>
        <v>1996-08</v>
      </c>
      <c r="F45" s="1">
        <v>-10.356999999999999</v>
      </c>
      <c r="G45" s="3">
        <f t="shared" si="4"/>
        <v>-94.314999999999998</v>
      </c>
      <c r="H45" s="3"/>
      <c r="I45" s="6">
        <v>35278</v>
      </c>
      <c r="J45" s="4">
        <f t="shared" si="2"/>
        <v>-94.314999999999998</v>
      </c>
      <c r="K45" s="4">
        <f>'TIC data'!AM248</f>
        <v>0.30200000000002092</v>
      </c>
      <c r="L45" s="8">
        <f t="shared" si="3"/>
        <v>-94.012999999999977</v>
      </c>
      <c r="M45" s="4"/>
      <c r="N45" s="3"/>
      <c r="O45" s="3"/>
      <c r="P45" s="3"/>
    </row>
    <row r="46" spans="1:16" ht="13" x14ac:dyDescent="0.3">
      <c r="A46" t="s">
        <v>236</v>
      </c>
      <c r="B46" s="4">
        <v>85.523213371728161</v>
      </c>
      <c r="C46" s="4">
        <f t="shared" si="1"/>
        <v>4.4487878405165935</v>
      </c>
      <c r="D46" s="3"/>
      <c r="E46" s="3" t="str">
        <f t="shared" si="5"/>
        <v>1996-09</v>
      </c>
      <c r="F46" s="1">
        <v>-10.195</v>
      </c>
      <c r="G46" s="3">
        <f t="shared" si="4"/>
        <v>-98.586000000000013</v>
      </c>
      <c r="H46" s="3"/>
      <c r="I46" s="6">
        <v>35309</v>
      </c>
      <c r="J46" s="4">
        <f t="shared" si="2"/>
        <v>-98.586000000000013</v>
      </c>
      <c r="K46" s="4">
        <f>'TIC data'!AM249</f>
        <v>9.5030000000000143</v>
      </c>
      <c r="L46" s="8">
        <f t="shared" si="3"/>
        <v>-89.082999999999998</v>
      </c>
      <c r="M46" s="4"/>
      <c r="N46" s="3"/>
      <c r="O46" s="3"/>
      <c r="P46" s="3"/>
    </row>
    <row r="47" spans="1:16" ht="13" x14ac:dyDescent="0.3">
      <c r="A47" t="s">
        <v>237</v>
      </c>
      <c r="B47" s="4">
        <v>85.793306940969046</v>
      </c>
      <c r="C47" s="4">
        <f t="shared" si="1"/>
        <v>4.4519409957701459</v>
      </c>
      <c r="D47" s="3"/>
      <c r="E47" s="3" t="str">
        <f t="shared" si="5"/>
        <v>1996-10</v>
      </c>
      <c r="F47" s="1">
        <v>-6.6349999999999998</v>
      </c>
      <c r="G47" s="3">
        <f t="shared" si="4"/>
        <v>-99.107000000000014</v>
      </c>
      <c r="H47" s="3"/>
      <c r="I47" s="6">
        <v>35339</v>
      </c>
      <c r="J47" s="4">
        <f t="shared" si="2"/>
        <v>-99.107000000000014</v>
      </c>
      <c r="K47" s="4">
        <f>'TIC data'!AM250</f>
        <v>20.755000000000024</v>
      </c>
      <c r="L47" s="8">
        <f t="shared" si="3"/>
        <v>-78.35199999999999</v>
      </c>
      <c r="M47" s="4"/>
      <c r="N47" s="3"/>
      <c r="O47" s="3"/>
      <c r="P47" s="3"/>
    </row>
    <row r="48" spans="1:16" ht="13" x14ac:dyDescent="0.3">
      <c r="A48" t="s">
        <v>238</v>
      </c>
      <c r="B48" s="4">
        <v>84.67463692218216</v>
      </c>
      <c r="C48" s="4">
        <f t="shared" si="1"/>
        <v>4.4388161107959965</v>
      </c>
      <c r="D48" s="3"/>
      <c r="E48" s="3" t="str">
        <f t="shared" si="5"/>
        <v>1996-11</v>
      </c>
      <c r="F48" s="1">
        <v>-7.2679999999999998</v>
      </c>
      <c r="G48" s="3">
        <f t="shared" si="4"/>
        <v>-99.861000000000004</v>
      </c>
      <c r="H48" s="3"/>
      <c r="I48" s="6">
        <v>35370</v>
      </c>
      <c r="J48" s="4">
        <f t="shared" si="2"/>
        <v>-99.861000000000004</v>
      </c>
      <c r="K48" s="4">
        <f>'TIC data'!AM251</f>
        <v>25.332000000000022</v>
      </c>
      <c r="L48" s="8">
        <f t="shared" si="3"/>
        <v>-74.528999999999982</v>
      </c>
      <c r="M48" s="4"/>
      <c r="N48" s="3"/>
      <c r="O48" s="3"/>
      <c r="P48" s="3"/>
    </row>
    <row r="49" spans="1:16" ht="13" x14ac:dyDescent="0.3">
      <c r="A49" t="s">
        <v>239</v>
      </c>
      <c r="B49" s="4">
        <v>86.040816133346738</v>
      </c>
      <c r="C49" s="4">
        <f t="shared" si="1"/>
        <v>4.4548217898653135</v>
      </c>
      <c r="D49" s="3"/>
      <c r="E49" s="3" t="str">
        <f t="shared" si="5"/>
        <v>1996-12</v>
      </c>
      <c r="F49" s="1">
        <v>-10.475</v>
      </c>
      <c r="G49" s="3">
        <f t="shared" si="4"/>
        <v>-104.06499999999998</v>
      </c>
      <c r="H49" s="3"/>
      <c r="I49" s="6">
        <v>35400</v>
      </c>
      <c r="J49" s="4">
        <f t="shared" si="2"/>
        <v>-104.06499999999998</v>
      </c>
      <c r="K49" s="4">
        <f>'TIC data'!AM252</f>
        <v>27.340000000000003</v>
      </c>
      <c r="L49" s="8">
        <f t="shared" si="3"/>
        <v>-76.72499999999998</v>
      </c>
      <c r="M49" s="4"/>
      <c r="N49" s="3"/>
      <c r="O49" s="3"/>
      <c r="P49" s="3"/>
    </row>
    <row r="50" spans="1:16" ht="13" x14ac:dyDescent="0.3">
      <c r="A50" t="s">
        <v>240</v>
      </c>
      <c r="B50" s="4">
        <v>87.11339048345944</v>
      </c>
      <c r="C50" s="4">
        <f t="shared" si="1"/>
        <v>4.4672106089360604</v>
      </c>
      <c r="D50" s="3"/>
      <c r="E50" s="3" t="str">
        <f t="shared" si="5"/>
        <v>1997-01</v>
      </c>
      <c r="F50" s="1">
        <v>-11.269</v>
      </c>
      <c r="G50" s="3">
        <f t="shared" si="4"/>
        <v>-106.86900000000001</v>
      </c>
      <c r="H50" s="3"/>
      <c r="I50" s="6">
        <v>35431</v>
      </c>
      <c r="J50" s="4">
        <f t="shared" ref="J50:J81" si="6">G50</f>
        <v>-106.86900000000001</v>
      </c>
      <c r="K50" s="4">
        <f>'TIC data'!AM253</f>
        <v>38.966000000000008</v>
      </c>
      <c r="L50" s="8">
        <f t="shared" ref="L50:L81" si="7">G50+K50</f>
        <v>-67.903000000000006</v>
      </c>
      <c r="M50" s="4"/>
      <c r="N50" s="3"/>
      <c r="O50" s="3"/>
      <c r="P50" s="3"/>
    </row>
    <row r="51" spans="1:16" ht="13" x14ac:dyDescent="0.3">
      <c r="A51" t="s">
        <v>241</v>
      </c>
      <c r="B51" s="4">
        <v>89.960414451292621</v>
      </c>
      <c r="C51" s="4">
        <f t="shared" si="1"/>
        <v>4.4993697341424479</v>
      </c>
      <c r="D51" s="3"/>
      <c r="E51" s="3" t="str">
        <f t="shared" si="5"/>
        <v>1997-02</v>
      </c>
      <c r="F51" s="1">
        <v>-9.7759999999999998</v>
      </c>
      <c r="G51" s="3">
        <f t="shared" si="4"/>
        <v>-109.32599999999999</v>
      </c>
      <c r="H51" s="3"/>
      <c r="I51" s="6">
        <v>35462</v>
      </c>
      <c r="J51" s="4">
        <f t="shared" si="6"/>
        <v>-109.32599999999999</v>
      </c>
      <c r="K51" s="4">
        <f>'TIC data'!AM254</f>
        <v>47.007000000000005</v>
      </c>
      <c r="L51" s="8">
        <f t="shared" si="7"/>
        <v>-62.318999999999988</v>
      </c>
      <c r="M51" s="4"/>
      <c r="N51" s="3"/>
      <c r="O51" s="3"/>
      <c r="P51" s="3"/>
    </row>
    <row r="52" spans="1:16" ht="13" x14ac:dyDescent="0.3">
      <c r="A52" t="s">
        <v>242</v>
      </c>
      <c r="B52" s="4">
        <v>90.668316496890498</v>
      </c>
      <c r="C52" s="4">
        <f t="shared" si="1"/>
        <v>4.5072079741192113</v>
      </c>
      <c r="D52" s="3"/>
      <c r="E52" s="3" t="str">
        <f t="shared" si="5"/>
        <v>1997-03</v>
      </c>
      <c r="F52" s="1">
        <v>-8.3829999999999991</v>
      </c>
      <c r="G52" s="3">
        <f t="shared" si="4"/>
        <v>-109.95299999999999</v>
      </c>
      <c r="H52" s="3"/>
      <c r="I52" s="6">
        <v>35490</v>
      </c>
      <c r="J52" s="4">
        <f t="shared" si="6"/>
        <v>-109.95299999999999</v>
      </c>
      <c r="K52" s="4">
        <f>'TIC data'!AM255</f>
        <v>56.885000000000048</v>
      </c>
      <c r="L52" s="8">
        <f t="shared" si="7"/>
        <v>-53.067999999999941</v>
      </c>
      <c r="M52" s="4"/>
      <c r="N52" s="3"/>
      <c r="O52" s="3"/>
      <c r="P52" s="3"/>
    </row>
    <row r="53" spans="1:16" ht="13" x14ac:dyDescent="0.3">
      <c r="A53" t="s">
        <v>243</v>
      </c>
      <c r="B53" s="4">
        <v>91.916716983276615</v>
      </c>
      <c r="C53" s="4">
        <f t="shared" si="1"/>
        <v>4.5208829168808728</v>
      </c>
      <c r="D53" s="3"/>
      <c r="E53" s="3" t="str">
        <f t="shared" si="5"/>
        <v>1997-04</v>
      </c>
      <c r="F53" s="1">
        <v>-8.0860000000000003</v>
      </c>
      <c r="G53" s="3">
        <f t="shared" si="4"/>
        <v>-109.29499999999999</v>
      </c>
      <c r="H53" s="3"/>
      <c r="I53" s="6">
        <v>35521</v>
      </c>
      <c r="J53" s="4">
        <f t="shared" si="6"/>
        <v>-109.29499999999999</v>
      </c>
      <c r="K53" s="4">
        <f>'TIC data'!AM256</f>
        <v>74.249000000000024</v>
      </c>
      <c r="L53" s="8">
        <f t="shared" si="7"/>
        <v>-35.045999999999964</v>
      </c>
      <c r="M53" s="4"/>
      <c r="N53" s="3"/>
      <c r="O53" s="3"/>
      <c r="P53" s="3"/>
    </row>
    <row r="54" spans="1:16" ht="13" x14ac:dyDescent="0.3">
      <c r="A54" t="s">
        <v>244</v>
      </c>
      <c r="B54" s="4">
        <v>90.093352932483526</v>
      </c>
      <c r="C54" s="4">
        <f t="shared" si="1"/>
        <v>4.5008463875585765</v>
      </c>
      <c r="D54" s="3"/>
      <c r="E54" s="3" t="str">
        <f t="shared" si="5"/>
        <v>1997-05</v>
      </c>
      <c r="F54" s="1">
        <v>-8.3940000000000001</v>
      </c>
      <c r="G54" s="3">
        <f t="shared" si="4"/>
        <v>-108.42999999999999</v>
      </c>
      <c r="H54" s="3"/>
      <c r="I54" s="6">
        <v>35551</v>
      </c>
      <c r="J54" s="4">
        <f t="shared" si="6"/>
        <v>-108.42999999999999</v>
      </c>
      <c r="K54" s="4">
        <f>'TIC data'!AM257</f>
        <v>76.83200000000005</v>
      </c>
      <c r="L54" s="8">
        <f t="shared" si="7"/>
        <v>-31.597999999999942</v>
      </c>
      <c r="M54" s="4"/>
      <c r="N54" s="3"/>
      <c r="O54" s="3"/>
      <c r="P54" s="3"/>
    </row>
    <row r="55" spans="1:16" ht="13" x14ac:dyDescent="0.3">
      <c r="A55" t="s">
        <v>245</v>
      </c>
      <c r="B55" s="4">
        <v>90.159903872573324</v>
      </c>
      <c r="C55" s="4">
        <f t="shared" si="1"/>
        <v>4.5015848035438779</v>
      </c>
      <c r="D55" s="3"/>
      <c r="E55" s="3" t="str">
        <f t="shared" si="5"/>
        <v>1997-06</v>
      </c>
      <c r="F55" s="1">
        <v>-7.1539999999999999</v>
      </c>
      <c r="G55" s="3">
        <f t="shared" si="4"/>
        <v>-108.124</v>
      </c>
      <c r="H55" s="3"/>
      <c r="I55" s="6">
        <v>35582</v>
      </c>
      <c r="J55" s="4">
        <f t="shared" si="6"/>
        <v>-108.124</v>
      </c>
      <c r="K55" s="4">
        <f>'TIC data'!AM258</f>
        <v>78.717000000000041</v>
      </c>
      <c r="L55" s="8">
        <f t="shared" si="7"/>
        <v>-29.406999999999954</v>
      </c>
      <c r="M55" s="4"/>
      <c r="N55" s="3"/>
      <c r="O55" s="3"/>
      <c r="P55" s="3"/>
    </row>
    <row r="56" spans="1:16" ht="13" x14ac:dyDescent="0.3">
      <c r="A56" t="s">
        <v>246</v>
      </c>
      <c r="B56" s="4">
        <v>91.071135252628665</v>
      </c>
      <c r="C56" s="4">
        <f t="shared" si="1"/>
        <v>4.5116409072166315</v>
      </c>
      <c r="D56" s="3"/>
      <c r="E56" s="3" t="str">
        <f t="shared" si="5"/>
        <v>1997-07</v>
      </c>
      <c r="F56" s="1">
        <v>-7.0330000000000004</v>
      </c>
      <c r="G56" s="3">
        <f t="shared" si="4"/>
        <v>-105.02499999999999</v>
      </c>
      <c r="H56" s="3"/>
      <c r="I56" s="6">
        <v>35612</v>
      </c>
      <c r="J56" s="4">
        <f t="shared" si="6"/>
        <v>-105.02499999999999</v>
      </c>
      <c r="K56" s="4">
        <f>'TIC data'!AM259</f>
        <v>89.266000000000076</v>
      </c>
      <c r="L56" s="8">
        <f t="shared" si="7"/>
        <v>-15.758999999999915</v>
      </c>
      <c r="M56" s="4"/>
      <c r="N56" s="3"/>
      <c r="O56" s="3"/>
      <c r="P56" s="3"/>
    </row>
    <row r="57" spans="1:16" ht="13" x14ac:dyDescent="0.3">
      <c r="A57" t="s">
        <v>247</v>
      </c>
      <c r="B57" s="4">
        <v>92.426252754001609</v>
      </c>
      <c r="C57" s="4">
        <f t="shared" si="1"/>
        <v>4.5264110590072946</v>
      </c>
      <c r="D57" s="3"/>
      <c r="E57" s="3" t="str">
        <f t="shared" si="5"/>
        <v>1997-08</v>
      </c>
      <c r="F57" s="1">
        <v>-8.7430000000000003</v>
      </c>
      <c r="G57" s="3">
        <f t="shared" si="4"/>
        <v>-103.41099999999999</v>
      </c>
      <c r="H57" s="3"/>
      <c r="I57" s="6">
        <v>35643</v>
      </c>
      <c r="J57" s="4">
        <f t="shared" si="6"/>
        <v>-103.41099999999999</v>
      </c>
      <c r="K57" s="4">
        <f>'TIC data'!AM260</f>
        <v>89.419999999999987</v>
      </c>
      <c r="L57" s="8">
        <f t="shared" si="7"/>
        <v>-13.991</v>
      </c>
      <c r="M57" s="4"/>
      <c r="N57" s="3"/>
      <c r="O57" s="3"/>
      <c r="P57" s="3"/>
    </row>
    <row r="58" spans="1:16" ht="13" x14ac:dyDescent="0.3">
      <c r="A58" t="s">
        <v>248</v>
      </c>
      <c r="B58" s="4">
        <v>91.745067241170176</v>
      </c>
      <c r="C58" s="4">
        <f t="shared" si="1"/>
        <v>4.5190137224503788</v>
      </c>
      <c r="D58" s="3"/>
      <c r="E58" s="3" t="str">
        <f t="shared" si="5"/>
        <v>1997-09</v>
      </c>
      <c r="F58" s="1">
        <v>-9.2690000000000001</v>
      </c>
      <c r="G58" s="3">
        <f t="shared" si="4"/>
        <v>-102.485</v>
      </c>
      <c r="H58" s="3"/>
      <c r="I58" s="6">
        <v>35674</v>
      </c>
      <c r="J58" s="4">
        <f t="shared" si="6"/>
        <v>-102.485</v>
      </c>
      <c r="K58" s="4">
        <f>'TIC data'!AM261</f>
        <v>94.820999999999941</v>
      </c>
      <c r="L58" s="8">
        <f t="shared" si="7"/>
        <v>-7.6640000000000583</v>
      </c>
      <c r="M58" s="4"/>
      <c r="N58" s="3"/>
      <c r="O58" s="3"/>
      <c r="P58" s="3"/>
    </row>
    <row r="59" spans="1:16" ht="13" x14ac:dyDescent="0.3">
      <c r="A59" t="s">
        <v>249</v>
      </c>
      <c r="B59" s="4">
        <v>91.43472581562493</v>
      </c>
      <c r="C59" s="4">
        <f t="shared" si="1"/>
        <v>4.5156253386413425</v>
      </c>
      <c r="D59" s="3"/>
      <c r="E59" s="3" t="str">
        <f t="shared" si="5"/>
        <v>1997-10</v>
      </c>
      <c r="F59" s="1">
        <v>-9.0890000000000004</v>
      </c>
      <c r="G59" s="3">
        <f t="shared" si="4"/>
        <v>-104.93899999999999</v>
      </c>
      <c r="H59" s="3"/>
      <c r="I59" s="6">
        <v>35704</v>
      </c>
      <c r="J59" s="4">
        <f t="shared" si="6"/>
        <v>-104.93899999999999</v>
      </c>
      <c r="K59" s="4">
        <f>'TIC data'!AM262</f>
        <v>100.82299999999998</v>
      </c>
      <c r="L59" s="8">
        <f t="shared" si="7"/>
        <v>-4.1160000000000139</v>
      </c>
      <c r="M59" s="4"/>
      <c r="N59" s="3"/>
      <c r="O59" s="3"/>
      <c r="P59" s="3"/>
    </row>
    <row r="60" spans="1:16" ht="13" x14ac:dyDescent="0.3">
      <c r="A60" t="s">
        <v>250</v>
      </c>
      <c r="B60" s="4">
        <v>91.834094098784107</v>
      </c>
      <c r="C60" s="4">
        <f t="shared" si="1"/>
        <v>4.5199836240878319</v>
      </c>
      <c r="D60" s="3"/>
      <c r="E60" s="3" t="str">
        <f t="shared" si="5"/>
        <v>1997-11</v>
      </c>
      <c r="F60" s="1">
        <v>-9.7859999999999996</v>
      </c>
      <c r="G60" s="3">
        <f t="shared" si="4"/>
        <v>-107.45699999999999</v>
      </c>
      <c r="H60" s="3"/>
      <c r="I60" s="6">
        <v>35735</v>
      </c>
      <c r="J60" s="4">
        <f t="shared" si="6"/>
        <v>-107.45699999999999</v>
      </c>
      <c r="K60" s="4">
        <f>'TIC data'!AM263</f>
        <v>96.364000000000033</v>
      </c>
      <c r="L60" s="8">
        <f t="shared" si="7"/>
        <v>-11.092999999999961</v>
      </c>
      <c r="M60" s="4"/>
      <c r="N60" s="3"/>
      <c r="O60" s="3"/>
      <c r="P60" s="3"/>
    </row>
    <row r="61" spans="1:16" ht="13" x14ac:dyDescent="0.3">
      <c r="A61" t="s">
        <v>251</v>
      </c>
      <c r="B61" s="4">
        <v>93.624325965048612</v>
      </c>
      <c r="C61" s="4">
        <f t="shared" si="1"/>
        <v>4.5392902425062465</v>
      </c>
      <c r="D61" s="3"/>
      <c r="E61" s="3" t="str">
        <f t="shared" si="5"/>
        <v>1997-12</v>
      </c>
      <c r="F61" s="1">
        <v>-11.289</v>
      </c>
      <c r="G61" s="3">
        <f t="shared" si="4"/>
        <v>-108.271</v>
      </c>
      <c r="H61" s="3"/>
      <c r="I61" s="6">
        <v>35765</v>
      </c>
      <c r="J61" s="4">
        <f t="shared" si="6"/>
        <v>-108.271</v>
      </c>
      <c r="K61" s="4">
        <f>'TIC data'!AM264</f>
        <v>114.72500000000002</v>
      </c>
      <c r="L61" s="8">
        <f t="shared" si="7"/>
        <v>6.4540000000000219</v>
      </c>
      <c r="M61" s="4"/>
      <c r="N61" s="3"/>
      <c r="O61" s="3"/>
      <c r="P61" s="3"/>
    </row>
    <row r="62" spans="1:16" ht="13" x14ac:dyDescent="0.3">
      <c r="A62" t="s">
        <v>252</v>
      </c>
      <c r="B62" s="4">
        <v>95.150475767359836</v>
      </c>
      <c r="C62" s="4">
        <f t="shared" si="1"/>
        <v>4.5554595939121043</v>
      </c>
      <c r="D62" s="3"/>
      <c r="E62" s="3" t="str">
        <f t="shared" si="5"/>
        <v>1998-01</v>
      </c>
      <c r="F62" s="1">
        <v>-10.776</v>
      </c>
      <c r="G62" s="3">
        <f t="shared" si="4"/>
        <v>-107.77799999999999</v>
      </c>
      <c r="H62" s="3"/>
      <c r="I62" s="6">
        <v>35796</v>
      </c>
      <c r="J62" s="4">
        <f t="shared" si="6"/>
        <v>-107.77799999999999</v>
      </c>
      <c r="K62" s="4">
        <f>'TIC data'!AM265</f>
        <v>124.32799999999997</v>
      </c>
      <c r="L62" s="8">
        <f t="shared" si="7"/>
        <v>16.549999999999983</v>
      </c>
      <c r="M62" s="4"/>
      <c r="N62" s="3"/>
      <c r="O62" s="3"/>
      <c r="P62" s="3"/>
    </row>
    <row r="63" spans="1:16" ht="13" x14ac:dyDescent="0.3">
      <c r="A63" t="s">
        <v>253</v>
      </c>
      <c r="B63" s="4">
        <v>94.387957042445862</v>
      </c>
      <c r="C63" s="4">
        <f t="shared" si="1"/>
        <v>4.5474134913103343</v>
      </c>
      <c r="D63" s="3"/>
      <c r="E63" s="3" t="str">
        <f t="shared" si="5"/>
        <v>1998-02</v>
      </c>
      <c r="F63" s="1">
        <v>-11.564</v>
      </c>
      <c r="G63" s="3">
        <f t="shared" si="4"/>
        <v>-109.566</v>
      </c>
      <c r="H63" s="3"/>
      <c r="I63" s="6">
        <v>35827</v>
      </c>
      <c r="J63" s="4">
        <f t="shared" si="6"/>
        <v>-109.566</v>
      </c>
      <c r="K63" s="4">
        <f>'TIC data'!AM266</f>
        <v>132.38300000000004</v>
      </c>
      <c r="L63" s="8">
        <f t="shared" si="7"/>
        <v>22.817000000000036</v>
      </c>
      <c r="M63" s="4"/>
      <c r="N63" s="3"/>
      <c r="O63" s="3"/>
      <c r="P63" s="3"/>
    </row>
    <row r="64" spans="1:16" ht="13" x14ac:dyDescent="0.3">
      <c r="A64" t="s">
        <v>254</v>
      </c>
      <c r="B64" s="4">
        <v>94.249344981629719</v>
      </c>
      <c r="C64" s="4">
        <f t="shared" si="1"/>
        <v>4.5459438765069384</v>
      </c>
      <c r="D64" s="3"/>
      <c r="E64" s="3" t="str">
        <f t="shared" si="5"/>
        <v>1998-03</v>
      </c>
      <c r="F64" s="1">
        <v>-12.88</v>
      </c>
      <c r="G64" s="3">
        <f t="shared" si="4"/>
        <v>-114.06299999999999</v>
      </c>
      <c r="H64" s="3"/>
      <c r="I64" s="6">
        <v>35855</v>
      </c>
      <c r="J64" s="4">
        <f t="shared" si="6"/>
        <v>-114.06299999999999</v>
      </c>
      <c r="K64" s="4">
        <f>'TIC data'!AM267</f>
        <v>155.90900000000005</v>
      </c>
      <c r="L64" s="8">
        <f t="shared" si="7"/>
        <v>41.84600000000006</v>
      </c>
      <c r="M64" s="4"/>
      <c r="N64" s="3"/>
      <c r="O64" s="3"/>
      <c r="P64" s="3"/>
    </row>
    <row r="65" spans="1:16" ht="13" x14ac:dyDescent="0.3">
      <c r="A65" t="s">
        <v>255</v>
      </c>
      <c r="B65" s="4">
        <v>94.546852388531278</v>
      </c>
      <c r="C65" s="4">
        <f t="shared" si="1"/>
        <v>4.5490955041064485</v>
      </c>
      <c r="D65" s="3"/>
      <c r="E65" s="3" t="str">
        <f t="shared" si="5"/>
        <v>1998-04</v>
      </c>
      <c r="F65" s="1">
        <v>-13.94</v>
      </c>
      <c r="G65" s="3">
        <f t="shared" si="4"/>
        <v>-119.91699999999997</v>
      </c>
      <c r="H65" s="3"/>
      <c r="I65" s="6">
        <v>35886</v>
      </c>
      <c r="J65" s="4">
        <f t="shared" si="6"/>
        <v>-119.91699999999997</v>
      </c>
      <c r="K65" s="4">
        <f>'TIC data'!AM268</f>
        <v>149.74200000000002</v>
      </c>
      <c r="L65" s="8">
        <f t="shared" si="7"/>
        <v>29.825000000000045</v>
      </c>
      <c r="M65" s="4"/>
      <c r="N65" s="3"/>
      <c r="O65" s="3"/>
      <c r="P65" s="3"/>
    </row>
    <row r="66" spans="1:16" ht="13" x14ac:dyDescent="0.3">
      <c r="A66" t="s">
        <v>256</v>
      </c>
      <c r="B66" s="4">
        <v>95.11499962946165</v>
      </c>
      <c r="C66" s="4">
        <f t="shared" si="1"/>
        <v>4.5550866819244167</v>
      </c>
      <c r="D66" s="3"/>
      <c r="E66" s="3" t="str">
        <f t="shared" ref="E66:E97" si="8">A66</f>
        <v>1998-05</v>
      </c>
      <c r="F66" s="1">
        <v>-14.202</v>
      </c>
      <c r="G66" s="3">
        <f t="shared" si="4"/>
        <v>-125.72499999999999</v>
      </c>
      <c r="H66" s="3"/>
      <c r="I66" s="6">
        <v>35916</v>
      </c>
      <c r="J66" s="4">
        <f t="shared" si="6"/>
        <v>-125.72499999999999</v>
      </c>
      <c r="K66" s="4">
        <f>'TIC data'!AM269</f>
        <v>152.97300000000001</v>
      </c>
      <c r="L66" s="8">
        <f t="shared" si="7"/>
        <v>27.248000000000019</v>
      </c>
      <c r="M66" s="4"/>
      <c r="N66" s="3"/>
      <c r="O66" s="3"/>
      <c r="P66" s="3"/>
    </row>
    <row r="67" spans="1:16" ht="13" x14ac:dyDescent="0.3">
      <c r="A67" t="s">
        <v>257</v>
      </c>
      <c r="B67" s="4">
        <v>96.715972723067196</v>
      </c>
      <c r="C67" s="4">
        <f t="shared" ref="C67:C130" si="9">LN(B67)</f>
        <v>4.5717785669270912</v>
      </c>
      <c r="D67" s="3"/>
      <c r="E67" s="3" t="str">
        <f t="shared" si="8"/>
        <v>1998-06</v>
      </c>
      <c r="F67" s="1">
        <v>-13.247</v>
      </c>
      <c r="G67" s="3">
        <f t="shared" si="4"/>
        <v>-131.81799999999998</v>
      </c>
      <c r="H67" s="3"/>
      <c r="I67" s="6">
        <v>35947</v>
      </c>
      <c r="J67" s="4">
        <f t="shared" si="6"/>
        <v>-131.81799999999998</v>
      </c>
      <c r="K67" s="4">
        <f>'TIC data'!AM270</f>
        <v>164.86799999999999</v>
      </c>
      <c r="L67" s="8">
        <f t="shared" si="7"/>
        <v>33.050000000000011</v>
      </c>
      <c r="M67" s="4"/>
      <c r="N67" s="3"/>
      <c r="O67" s="3"/>
      <c r="P67" s="3"/>
    </row>
    <row r="68" spans="1:16" ht="13" x14ac:dyDescent="0.3">
      <c r="A68" t="s">
        <v>258</v>
      </c>
      <c r="B68" s="4">
        <v>97.103482195760606</v>
      </c>
      <c r="C68" s="4">
        <f t="shared" si="9"/>
        <v>4.575777236608535</v>
      </c>
      <c r="D68" s="3"/>
      <c r="E68" s="3" t="str">
        <f t="shared" si="8"/>
        <v>1998-07</v>
      </c>
      <c r="F68" s="1">
        <v>-13.949</v>
      </c>
      <c r="G68" s="3">
        <f t="shared" si="4"/>
        <v>-138.73399999999998</v>
      </c>
      <c r="H68" s="3"/>
      <c r="I68" s="6">
        <v>35977</v>
      </c>
      <c r="J68" s="4">
        <f t="shared" si="6"/>
        <v>-138.73399999999998</v>
      </c>
      <c r="K68" s="4">
        <f>'TIC data'!AM271</f>
        <v>171.45499999999998</v>
      </c>
      <c r="L68" s="8">
        <f t="shared" si="7"/>
        <v>32.721000000000004</v>
      </c>
      <c r="M68" s="4"/>
      <c r="N68" s="3"/>
      <c r="O68" s="3"/>
      <c r="P68" s="3"/>
    </row>
    <row r="69" spans="1:16" ht="13" x14ac:dyDescent="0.3">
      <c r="A69" t="s">
        <v>259</v>
      </c>
      <c r="B69" s="4">
        <v>98.439762951533922</v>
      </c>
      <c r="C69" s="4">
        <f t="shared" si="9"/>
        <v>4.5894448174697109</v>
      </c>
      <c r="D69" s="3"/>
      <c r="E69" s="3" t="str">
        <f t="shared" si="8"/>
        <v>1998-08</v>
      </c>
      <c r="F69" s="1">
        <v>-16.027999999999999</v>
      </c>
      <c r="G69" s="3">
        <f t="shared" si="4"/>
        <v>-146.01900000000001</v>
      </c>
      <c r="H69" s="3"/>
      <c r="I69" s="6">
        <v>36008</v>
      </c>
      <c r="J69" s="4">
        <f t="shared" si="6"/>
        <v>-146.01900000000001</v>
      </c>
      <c r="K69" s="4">
        <f>'TIC data'!AM272</f>
        <v>177.261</v>
      </c>
      <c r="L69" s="8">
        <f t="shared" si="7"/>
        <v>31.24199999999999</v>
      </c>
      <c r="M69" s="4"/>
      <c r="N69" s="3"/>
      <c r="O69" s="3"/>
      <c r="P69" s="3"/>
    </row>
    <row r="70" spans="1:16" ht="13" x14ac:dyDescent="0.3">
      <c r="A70" t="s">
        <v>260</v>
      </c>
      <c r="B70" s="4">
        <v>94.517106593678079</v>
      </c>
      <c r="C70" s="4">
        <f t="shared" si="9"/>
        <v>4.548780840272487</v>
      </c>
      <c r="D70" s="3"/>
      <c r="E70" s="3" t="str">
        <f t="shared" si="8"/>
        <v>1998-09</v>
      </c>
      <c r="F70" s="1">
        <v>-14.82</v>
      </c>
      <c r="G70" s="3">
        <f t="shared" si="4"/>
        <v>-151.57</v>
      </c>
      <c r="H70" s="3"/>
      <c r="I70" s="6">
        <v>36039</v>
      </c>
      <c r="J70" s="4">
        <f t="shared" si="6"/>
        <v>-151.57</v>
      </c>
      <c r="K70" s="4">
        <f>'TIC data'!AM273</f>
        <v>172.47499999999997</v>
      </c>
      <c r="L70" s="8">
        <f t="shared" si="7"/>
        <v>20.904999999999973</v>
      </c>
      <c r="M70" s="4"/>
      <c r="N70" s="3"/>
      <c r="O70" s="3"/>
      <c r="P70" s="3"/>
    </row>
    <row r="71" spans="1:16" ht="13" x14ac:dyDescent="0.3">
      <c r="A71" t="s">
        <v>261</v>
      </c>
      <c r="B71" s="4">
        <v>91.781351894521251</v>
      </c>
      <c r="C71" s="4">
        <f t="shared" si="9"/>
        <v>4.5194091385871369</v>
      </c>
      <c r="D71" s="3"/>
      <c r="E71" s="3" t="str">
        <f t="shared" si="8"/>
        <v>1998-10</v>
      </c>
      <c r="F71" s="1">
        <v>-14.815</v>
      </c>
      <c r="G71" s="3">
        <f t="shared" si="4"/>
        <v>-157.29599999999999</v>
      </c>
      <c r="H71" s="3"/>
      <c r="I71" s="6">
        <v>36069</v>
      </c>
      <c r="J71" s="4">
        <f t="shared" si="6"/>
        <v>-157.29599999999999</v>
      </c>
      <c r="K71" s="4">
        <f>'TIC data'!AM274</f>
        <v>192.85399999999993</v>
      </c>
      <c r="L71" s="8">
        <f t="shared" si="7"/>
        <v>35.557999999999936</v>
      </c>
      <c r="M71" s="4"/>
      <c r="N71" s="3"/>
      <c r="O71" s="3"/>
      <c r="P71" s="3"/>
    </row>
    <row r="72" spans="1:16" ht="13" x14ac:dyDescent="0.3">
      <c r="A72" t="s">
        <v>262</v>
      </c>
      <c r="B72" s="4">
        <v>93.172569646811894</v>
      </c>
      <c r="C72" s="4">
        <f t="shared" si="9"/>
        <v>4.5344533612774764</v>
      </c>
      <c r="D72" s="3"/>
      <c r="E72" s="3" t="str">
        <f t="shared" si="8"/>
        <v>1998-11</v>
      </c>
      <c r="F72" s="1">
        <v>-15.173</v>
      </c>
      <c r="G72" s="3">
        <f t="shared" si="4"/>
        <v>-162.68299999999999</v>
      </c>
      <c r="H72" s="3"/>
      <c r="I72" s="6">
        <v>36100</v>
      </c>
      <c r="J72" s="4">
        <f t="shared" si="6"/>
        <v>-162.68299999999999</v>
      </c>
      <c r="K72" s="4">
        <f>'TIC data'!AM275</f>
        <v>211.90300000000002</v>
      </c>
      <c r="L72" s="8">
        <f t="shared" si="7"/>
        <v>49.220000000000027</v>
      </c>
      <c r="M72" s="4"/>
      <c r="N72" s="3"/>
      <c r="O72" s="3"/>
      <c r="P72" s="3"/>
    </row>
    <row r="73" spans="1:16" ht="13" x14ac:dyDescent="0.3">
      <c r="A73" t="s">
        <v>263</v>
      </c>
      <c r="B73" s="4">
        <v>92.096737932243968</v>
      </c>
      <c r="C73" s="4">
        <f t="shared" si="9"/>
        <v>4.5228395238744357</v>
      </c>
      <c r="D73" s="3"/>
      <c r="E73" s="3" t="str">
        <f t="shared" si="8"/>
        <v>1998-12</v>
      </c>
      <c r="F73" s="1">
        <v>-14.744999999999999</v>
      </c>
      <c r="G73" s="3">
        <f t="shared" si="4"/>
        <v>-166.13899999999998</v>
      </c>
      <c r="H73" s="3"/>
      <c r="I73" s="6">
        <v>36130</v>
      </c>
      <c r="J73" s="4">
        <f t="shared" si="6"/>
        <v>-166.13899999999998</v>
      </c>
      <c r="K73" s="4">
        <f>'TIC data'!AM276</f>
        <v>217.61499999999992</v>
      </c>
      <c r="L73" s="8">
        <f t="shared" si="7"/>
        <v>51.475999999999942</v>
      </c>
      <c r="M73" s="4"/>
      <c r="N73" s="3"/>
      <c r="O73" s="3"/>
      <c r="P73" s="3"/>
    </row>
    <row r="74" spans="1:16" ht="13" x14ac:dyDescent="0.3">
      <c r="A74" t="s">
        <v>264</v>
      </c>
      <c r="B74" s="4">
        <v>92.827810543412369</v>
      </c>
      <c r="C74" s="4">
        <f t="shared" si="9"/>
        <v>4.5307462774761751</v>
      </c>
      <c r="D74" s="3"/>
      <c r="E74" s="3" t="str">
        <f t="shared" si="8"/>
        <v>1999-01</v>
      </c>
      <c r="F74" s="1">
        <v>-15.944000000000001</v>
      </c>
      <c r="G74" s="3">
        <f t="shared" si="4"/>
        <v>-171.30699999999999</v>
      </c>
      <c r="H74" s="3"/>
      <c r="I74" s="6">
        <v>36161</v>
      </c>
      <c r="J74" s="4">
        <f t="shared" si="6"/>
        <v>-171.30699999999999</v>
      </c>
      <c r="K74" s="4">
        <f>'TIC data'!AM277</f>
        <v>217.31399999999999</v>
      </c>
      <c r="L74" s="8">
        <f t="shared" si="7"/>
        <v>46.007000000000005</v>
      </c>
      <c r="M74" s="4"/>
      <c r="N74" s="3"/>
      <c r="O74" s="3"/>
      <c r="P74" s="3"/>
    </row>
    <row r="75" spans="1:16" ht="13" x14ac:dyDescent="0.3">
      <c r="A75" t="s">
        <v>265</v>
      </c>
      <c r="B75" s="4">
        <v>93.971682872998187</v>
      </c>
      <c r="C75" s="4">
        <f t="shared" si="9"/>
        <v>4.5429934908543688</v>
      </c>
      <c r="D75" s="3"/>
      <c r="E75" s="3" t="str">
        <f t="shared" si="8"/>
        <v>1999-02</v>
      </c>
      <c r="F75" s="1">
        <v>-19.23</v>
      </c>
      <c r="G75" s="3">
        <f t="shared" si="4"/>
        <v>-178.97299999999998</v>
      </c>
      <c r="H75" s="3"/>
      <c r="I75" s="6">
        <v>36192</v>
      </c>
      <c r="J75" s="4">
        <f t="shared" si="6"/>
        <v>-178.97299999999998</v>
      </c>
      <c r="K75" s="4">
        <f>'TIC data'!AM278</f>
        <v>223.12500000000006</v>
      </c>
      <c r="L75" s="8">
        <f t="shared" si="7"/>
        <v>44.152000000000072</v>
      </c>
      <c r="M75" s="4"/>
      <c r="N75" s="3"/>
      <c r="O75" s="3"/>
      <c r="P75" s="3"/>
    </row>
    <row r="76" spans="1:16" ht="13" x14ac:dyDescent="0.3">
      <c r="A76" t="s">
        <v>266</v>
      </c>
      <c r="B76" s="4">
        <v>95.400931591862715</v>
      </c>
      <c r="C76" s="4">
        <f t="shared" si="9"/>
        <v>4.5580883435204278</v>
      </c>
      <c r="D76" s="3"/>
      <c r="E76" s="3" t="str">
        <f t="shared" si="8"/>
        <v>1999-03</v>
      </c>
      <c r="F76" s="1">
        <v>-18.550999999999998</v>
      </c>
      <c r="G76" s="3">
        <f t="shared" si="4"/>
        <v>-184.64399999999995</v>
      </c>
      <c r="H76" s="3"/>
      <c r="I76" s="6">
        <v>36220</v>
      </c>
      <c r="J76" s="4">
        <f t="shared" si="6"/>
        <v>-184.64399999999995</v>
      </c>
      <c r="K76" s="4">
        <f>'TIC data'!AM279</f>
        <v>227.88200000000001</v>
      </c>
      <c r="L76" s="8">
        <f t="shared" si="7"/>
        <v>43.238000000000056</v>
      </c>
      <c r="M76" s="4"/>
      <c r="N76" s="3"/>
      <c r="O76" s="3"/>
      <c r="P76" s="3"/>
    </row>
    <row r="77" spans="1:16" ht="13" x14ac:dyDescent="0.3">
      <c r="A77" t="s">
        <v>267</v>
      </c>
      <c r="B77" s="4">
        <v>95.176006257554292</v>
      </c>
      <c r="C77" s="4">
        <f t="shared" si="9"/>
        <v>4.5557278749214101</v>
      </c>
      <c r="D77" s="3"/>
      <c r="E77" s="3" t="str">
        <f t="shared" si="8"/>
        <v>1999-04</v>
      </c>
      <c r="F77" s="1">
        <v>-18.803000000000001</v>
      </c>
      <c r="G77" s="3">
        <f t="shared" si="4"/>
        <v>-189.50699999999998</v>
      </c>
      <c r="H77" s="3"/>
      <c r="I77" s="6">
        <v>36251</v>
      </c>
      <c r="J77" s="4">
        <f t="shared" si="6"/>
        <v>-189.50699999999998</v>
      </c>
      <c r="K77" s="4">
        <f>'TIC data'!AM280</f>
        <v>254.20099999999999</v>
      </c>
      <c r="L77" s="8">
        <f t="shared" si="7"/>
        <v>64.694000000000017</v>
      </c>
      <c r="M77" s="4"/>
      <c r="N77" s="3"/>
      <c r="O77" s="3"/>
      <c r="P77" s="3"/>
    </row>
    <row r="78" spans="1:16" ht="13" x14ac:dyDescent="0.3">
      <c r="A78" t="s">
        <v>268</v>
      </c>
      <c r="B78" s="4">
        <v>95.692546675135844</v>
      </c>
      <c r="C78" s="4">
        <f t="shared" si="9"/>
        <v>4.5611404132434457</v>
      </c>
      <c r="D78" s="3"/>
      <c r="E78" s="3" t="str">
        <f t="shared" si="8"/>
        <v>1999-05</v>
      </c>
      <c r="F78" s="1">
        <v>-20.998000000000001</v>
      </c>
      <c r="G78" s="3">
        <f t="shared" si="4"/>
        <v>-196.30299999999997</v>
      </c>
      <c r="H78" s="3"/>
      <c r="I78" s="6">
        <v>36281</v>
      </c>
      <c r="J78" s="4">
        <f t="shared" si="6"/>
        <v>-196.30299999999997</v>
      </c>
      <c r="K78" s="4">
        <f>'TIC data'!AM281</f>
        <v>267.48700000000002</v>
      </c>
      <c r="L78" s="8">
        <f t="shared" si="7"/>
        <v>71.184000000000054</v>
      </c>
      <c r="M78" s="4"/>
      <c r="N78" s="3"/>
      <c r="O78" s="3"/>
      <c r="P78" s="3"/>
    </row>
    <row r="79" spans="1:16" ht="13" x14ac:dyDescent="0.3">
      <c r="A79" t="s">
        <v>269</v>
      </c>
      <c r="B79" s="4">
        <v>95.877236235339652</v>
      </c>
      <c r="C79" s="4">
        <f t="shared" si="9"/>
        <v>4.5630685839039575</v>
      </c>
      <c r="D79" s="3"/>
      <c r="E79" s="3" t="str">
        <f t="shared" si="8"/>
        <v>1999-06</v>
      </c>
      <c r="F79" s="1">
        <v>-23.628</v>
      </c>
      <c r="G79" s="3">
        <f t="shared" si="4"/>
        <v>-206.68399999999997</v>
      </c>
      <c r="H79" s="3"/>
      <c r="I79" s="6">
        <v>36312</v>
      </c>
      <c r="J79" s="4">
        <f t="shared" si="6"/>
        <v>-206.68399999999997</v>
      </c>
      <c r="K79" s="4">
        <f>'TIC data'!AM282</f>
        <v>296.95499999999998</v>
      </c>
      <c r="L79" s="8">
        <f t="shared" si="7"/>
        <v>90.271000000000015</v>
      </c>
      <c r="M79" s="4"/>
      <c r="N79" s="3"/>
      <c r="O79" s="3"/>
      <c r="P79" s="3"/>
    </row>
    <row r="80" spans="1:16" ht="13" x14ac:dyDescent="0.3">
      <c r="A80" t="s">
        <v>270</v>
      </c>
      <c r="B80" s="4">
        <v>95.453814306752435</v>
      </c>
      <c r="C80" s="4">
        <f t="shared" si="9"/>
        <v>4.5586425106803175</v>
      </c>
      <c r="D80" s="3"/>
      <c r="E80" s="3" t="str">
        <f t="shared" si="8"/>
        <v>1999-07</v>
      </c>
      <c r="F80" s="1">
        <v>-24.155999999999999</v>
      </c>
      <c r="G80" s="3">
        <f t="shared" si="4"/>
        <v>-216.89100000000002</v>
      </c>
      <c r="H80" s="3"/>
      <c r="I80" s="6">
        <v>36342</v>
      </c>
      <c r="J80" s="4">
        <f t="shared" si="6"/>
        <v>-216.89100000000002</v>
      </c>
      <c r="K80" s="4">
        <f>'TIC data'!AM283</f>
        <v>311.74399999999997</v>
      </c>
      <c r="L80" s="8">
        <f t="shared" si="7"/>
        <v>94.852999999999952</v>
      </c>
      <c r="M80" s="4"/>
      <c r="N80" s="3"/>
      <c r="O80" s="3"/>
      <c r="P80" s="3"/>
    </row>
    <row r="81" spans="1:16" ht="13" x14ac:dyDescent="0.3">
      <c r="A81" t="s">
        <v>271</v>
      </c>
      <c r="B81" s="4">
        <v>94.720448381621949</v>
      </c>
      <c r="C81" s="4">
        <f t="shared" si="9"/>
        <v>4.5509299048831693</v>
      </c>
      <c r="D81" s="3"/>
      <c r="E81" s="3" t="str">
        <f t="shared" si="8"/>
        <v>1999-08</v>
      </c>
      <c r="F81" s="1">
        <v>-23.654</v>
      </c>
      <c r="G81" s="3">
        <f t="shared" si="4"/>
        <v>-224.517</v>
      </c>
      <c r="H81" s="3"/>
      <c r="I81" s="6">
        <v>36373</v>
      </c>
      <c r="J81" s="4">
        <f t="shared" si="6"/>
        <v>-224.517</v>
      </c>
      <c r="K81" s="4">
        <f>'TIC data'!AM284</f>
        <v>322.70699999999999</v>
      </c>
      <c r="L81" s="8">
        <f t="shared" si="7"/>
        <v>98.19</v>
      </c>
      <c r="M81" s="4"/>
      <c r="N81" s="3"/>
      <c r="O81" s="3"/>
      <c r="P81" s="3"/>
    </row>
    <row r="82" spans="1:16" ht="13" x14ac:dyDescent="0.3">
      <c r="A82" t="s">
        <v>272</v>
      </c>
      <c r="B82" s="4">
        <v>92.822231454571792</v>
      </c>
      <c r="C82" s="4">
        <f t="shared" si="9"/>
        <v>4.5306861741895581</v>
      </c>
      <c r="D82" s="3"/>
      <c r="E82" s="3" t="str">
        <f t="shared" si="8"/>
        <v>1999-09</v>
      </c>
      <c r="F82" s="1">
        <v>-23.661999999999999</v>
      </c>
      <c r="G82" s="3">
        <f t="shared" si="4"/>
        <v>-233.35900000000001</v>
      </c>
      <c r="H82" s="3"/>
      <c r="I82" s="6">
        <v>36404</v>
      </c>
      <c r="J82" s="4">
        <f t="shared" ref="J82:J113" si="10">G82</f>
        <v>-233.35900000000001</v>
      </c>
      <c r="K82" s="4">
        <f>'TIC data'!AM285</f>
        <v>348.137</v>
      </c>
      <c r="L82" s="8">
        <f t="shared" ref="L82:L113" si="11">G82+K82</f>
        <v>114.77799999999999</v>
      </c>
      <c r="M82" s="4"/>
      <c r="N82" s="3"/>
      <c r="O82" s="3"/>
      <c r="P82" s="3"/>
    </row>
    <row r="83" spans="1:16" ht="13" x14ac:dyDescent="0.3">
      <c r="A83" t="s">
        <v>273</v>
      </c>
      <c r="B83" s="4">
        <v>93.544513454717105</v>
      </c>
      <c r="C83" s="4">
        <f t="shared" si="9"/>
        <v>4.5384374027342371</v>
      </c>
      <c r="D83" s="3"/>
      <c r="E83" s="3" t="str">
        <f t="shared" si="8"/>
        <v>1999-10</v>
      </c>
      <c r="F83" s="1">
        <v>-24.145</v>
      </c>
      <c r="G83" s="3">
        <f t="shared" ref="G83:G146" si="12">SUM(F72:F83)</f>
        <v>-242.68900000000002</v>
      </c>
      <c r="H83" s="3"/>
      <c r="I83" s="6">
        <v>36434</v>
      </c>
      <c r="J83" s="4">
        <f t="shared" si="10"/>
        <v>-242.68900000000002</v>
      </c>
      <c r="K83" s="4">
        <f>'TIC data'!AM286</f>
        <v>341.79300000000001</v>
      </c>
      <c r="L83" s="8">
        <f t="shared" si="11"/>
        <v>99.103999999999985</v>
      </c>
      <c r="M83" s="4"/>
      <c r="N83" s="3"/>
      <c r="O83" s="3"/>
      <c r="P83" s="3"/>
    </row>
    <row r="84" spans="1:16" ht="13" x14ac:dyDescent="0.3">
      <c r="A84" t="s">
        <v>274</v>
      </c>
      <c r="B84" s="4">
        <v>94.063575865025754</v>
      </c>
      <c r="C84" s="4">
        <f t="shared" si="9"/>
        <v>4.5439708926454996</v>
      </c>
      <c r="D84" s="3"/>
      <c r="E84" s="3" t="str">
        <f t="shared" si="8"/>
        <v>1999-11</v>
      </c>
      <c r="F84" s="1">
        <v>-25.745000000000001</v>
      </c>
      <c r="G84" s="3">
        <f t="shared" si="12"/>
        <v>-253.26100000000002</v>
      </c>
      <c r="H84" s="3"/>
      <c r="I84" s="6">
        <v>36465</v>
      </c>
      <c r="J84" s="4">
        <f t="shared" si="10"/>
        <v>-253.26100000000002</v>
      </c>
      <c r="K84" s="4">
        <f>'TIC data'!AM287</f>
        <v>361.86599999999999</v>
      </c>
      <c r="L84" s="8">
        <f t="shared" si="11"/>
        <v>108.60499999999996</v>
      </c>
      <c r="M84" s="4"/>
      <c r="N84" s="3"/>
      <c r="O84" s="3"/>
      <c r="P84" s="3"/>
    </row>
    <row r="85" spans="1:16" ht="13" x14ac:dyDescent="0.3">
      <c r="A85" t="s">
        <v>275</v>
      </c>
      <c r="B85" s="4">
        <v>93.844251225432572</v>
      </c>
      <c r="C85" s="4">
        <f t="shared" si="9"/>
        <v>4.5416365062328907</v>
      </c>
      <c r="D85" s="3"/>
      <c r="E85" s="3" t="str">
        <f t="shared" si="8"/>
        <v>1999-12</v>
      </c>
      <c r="F85" s="1">
        <v>-26.568000000000001</v>
      </c>
      <c r="G85" s="3">
        <f t="shared" si="12"/>
        <v>-265.084</v>
      </c>
      <c r="H85" s="3"/>
      <c r="I85" s="6">
        <v>36495</v>
      </c>
      <c r="J85" s="4">
        <f t="shared" si="10"/>
        <v>-265.084</v>
      </c>
      <c r="K85" s="4">
        <f>'TIC data'!AM288</f>
        <v>370.07799999999997</v>
      </c>
      <c r="L85" s="8">
        <f t="shared" si="11"/>
        <v>104.99399999999997</v>
      </c>
      <c r="M85" s="4"/>
      <c r="N85" s="3"/>
      <c r="O85" s="3"/>
      <c r="P85" s="3"/>
    </row>
    <row r="86" spans="1:16" ht="13" x14ac:dyDescent="0.3">
      <c r="A86" t="s">
        <v>276</v>
      </c>
      <c r="B86" s="4">
        <v>99.281099999999995</v>
      </c>
      <c r="C86" s="4">
        <f t="shared" si="9"/>
        <v>4.5979552206093466</v>
      </c>
      <c r="D86" s="3"/>
      <c r="E86" s="3" t="str">
        <f t="shared" si="8"/>
        <v>2000-01</v>
      </c>
      <c r="F86" s="1">
        <v>-27.582000000000001</v>
      </c>
      <c r="G86" s="3">
        <f t="shared" si="12"/>
        <v>-276.72200000000004</v>
      </c>
      <c r="H86" s="3"/>
      <c r="I86" s="6">
        <v>36526</v>
      </c>
      <c r="J86" s="4">
        <f t="shared" si="10"/>
        <v>-276.72200000000004</v>
      </c>
      <c r="K86" s="4">
        <f>'TIC data'!AM289</f>
        <v>379.11999999999995</v>
      </c>
      <c r="L86" s="8">
        <f t="shared" si="11"/>
        <v>102.39799999999991</v>
      </c>
      <c r="M86" s="4"/>
      <c r="N86" s="3"/>
      <c r="O86" s="3"/>
      <c r="P86" s="3"/>
    </row>
    <row r="87" spans="1:16" ht="13" x14ac:dyDescent="0.3">
      <c r="A87" t="s">
        <v>277</v>
      </c>
      <c r="B87" s="4">
        <v>101.2329</v>
      </c>
      <c r="C87" s="4">
        <f t="shared" si="9"/>
        <v>4.6174238028344252</v>
      </c>
      <c r="D87" s="3"/>
      <c r="E87" s="3" t="str">
        <f t="shared" si="8"/>
        <v>2000-02</v>
      </c>
      <c r="F87" s="1">
        <v>-30.535</v>
      </c>
      <c r="G87" s="3">
        <f t="shared" si="12"/>
        <v>-288.02700000000004</v>
      </c>
      <c r="H87" s="3"/>
      <c r="I87" s="6">
        <v>36557</v>
      </c>
      <c r="J87" s="4">
        <f t="shared" si="10"/>
        <v>-288.02700000000004</v>
      </c>
      <c r="K87" s="4">
        <f>'TIC data'!AM290</f>
        <v>399.012</v>
      </c>
      <c r="L87" s="8">
        <f t="shared" si="11"/>
        <v>110.98499999999996</v>
      </c>
      <c r="M87" s="4"/>
      <c r="N87" s="3"/>
      <c r="O87" s="3"/>
      <c r="P87" s="3"/>
    </row>
    <row r="88" spans="1:16" ht="13" x14ac:dyDescent="0.3">
      <c r="A88" t="s">
        <v>278</v>
      </c>
      <c r="B88" s="4">
        <v>101.6596</v>
      </c>
      <c r="C88" s="4">
        <f t="shared" si="9"/>
        <v>4.6216299773267737</v>
      </c>
      <c r="D88" s="3"/>
      <c r="E88" s="3" t="str">
        <f t="shared" si="8"/>
        <v>2000-03</v>
      </c>
      <c r="F88" s="1">
        <v>-31.881</v>
      </c>
      <c r="G88" s="3">
        <f t="shared" si="12"/>
        <v>-301.35700000000008</v>
      </c>
      <c r="H88" s="3"/>
      <c r="I88" s="6">
        <v>36586</v>
      </c>
      <c r="J88" s="4">
        <f t="shared" si="10"/>
        <v>-301.35700000000008</v>
      </c>
      <c r="K88" s="4">
        <f>'TIC data'!AM291</f>
        <v>409.42599999999999</v>
      </c>
      <c r="L88" s="8">
        <f t="shared" si="11"/>
        <v>108.0689999999999</v>
      </c>
      <c r="M88" s="4"/>
      <c r="N88" s="3"/>
      <c r="O88" s="3"/>
      <c r="P88" s="3"/>
    </row>
    <row r="89" spans="1:16" ht="13" x14ac:dyDescent="0.3">
      <c r="A89" t="s">
        <v>279</v>
      </c>
      <c r="B89" s="4">
        <v>102.339</v>
      </c>
      <c r="C89" s="4">
        <f t="shared" si="9"/>
        <v>4.6282908319788048</v>
      </c>
      <c r="D89" s="3"/>
      <c r="E89" s="3" t="str">
        <f t="shared" si="8"/>
        <v>2000-04</v>
      </c>
      <c r="F89" s="1">
        <v>-29.222000000000001</v>
      </c>
      <c r="G89" s="3">
        <f t="shared" si="12"/>
        <v>-311.77600000000001</v>
      </c>
      <c r="H89" s="3"/>
      <c r="I89" s="6">
        <v>36617</v>
      </c>
      <c r="J89" s="4">
        <f t="shared" si="10"/>
        <v>-311.77600000000001</v>
      </c>
      <c r="K89" s="4">
        <f>'TIC data'!AM292</f>
        <v>390.77500000000009</v>
      </c>
      <c r="L89" s="8">
        <f t="shared" si="11"/>
        <v>78.99900000000008</v>
      </c>
      <c r="M89" s="4"/>
      <c r="N89" s="3"/>
      <c r="O89" s="3"/>
      <c r="P89" s="3"/>
    </row>
    <row r="90" spans="1:16" ht="13" x14ac:dyDescent="0.3">
      <c r="A90" t="s">
        <v>280</v>
      </c>
      <c r="B90" s="4">
        <v>105.3229</v>
      </c>
      <c r="C90" s="4">
        <f t="shared" si="9"/>
        <v>4.6570308693800531</v>
      </c>
      <c r="D90" s="3"/>
      <c r="E90" s="3" t="str">
        <f t="shared" si="8"/>
        <v>2000-05</v>
      </c>
      <c r="F90" s="1">
        <v>-30.245999999999999</v>
      </c>
      <c r="G90" s="3">
        <f t="shared" si="12"/>
        <v>-321.02399999999994</v>
      </c>
      <c r="H90" s="3"/>
      <c r="I90" s="6">
        <v>36647</v>
      </c>
      <c r="J90" s="4">
        <f t="shared" si="10"/>
        <v>-321.02399999999994</v>
      </c>
      <c r="K90" s="4">
        <f>'TIC data'!AM293</f>
        <v>403.65900000000011</v>
      </c>
      <c r="L90" s="8">
        <f t="shared" si="11"/>
        <v>82.635000000000161</v>
      </c>
      <c r="M90" s="4"/>
      <c r="N90" s="3"/>
      <c r="O90" s="3"/>
      <c r="P90" s="3"/>
    </row>
    <row r="91" spans="1:16" ht="13" x14ac:dyDescent="0.3">
      <c r="A91" t="s">
        <v>281</v>
      </c>
      <c r="B91" s="4">
        <v>102.81180000000001</v>
      </c>
      <c r="C91" s="4">
        <f t="shared" si="9"/>
        <v>4.632900132425875</v>
      </c>
      <c r="D91" s="3"/>
      <c r="E91" s="3" t="str">
        <f t="shared" si="8"/>
        <v>2000-06</v>
      </c>
      <c r="F91" s="1">
        <v>-31.434000000000001</v>
      </c>
      <c r="G91" s="3">
        <f t="shared" si="12"/>
        <v>-328.83</v>
      </c>
      <c r="H91" s="3"/>
      <c r="I91" s="6">
        <v>36678</v>
      </c>
      <c r="J91" s="4">
        <f t="shared" si="10"/>
        <v>-328.83</v>
      </c>
      <c r="K91" s="4">
        <f>'TIC data'!AM294</f>
        <v>412.44800000000004</v>
      </c>
      <c r="L91" s="8">
        <f t="shared" si="11"/>
        <v>83.618000000000052</v>
      </c>
      <c r="M91" s="4"/>
      <c r="N91" s="3"/>
      <c r="O91" s="3"/>
      <c r="P91" s="3"/>
    </row>
    <row r="92" spans="1:16" ht="13" x14ac:dyDescent="0.3">
      <c r="A92" t="s">
        <v>282</v>
      </c>
      <c r="B92" s="4">
        <v>103.6421</v>
      </c>
      <c r="C92" s="4">
        <f t="shared" si="9"/>
        <v>4.6409436179355605</v>
      </c>
      <c r="D92" s="3"/>
      <c r="E92" s="3" t="str">
        <f t="shared" si="8"/>
        <v>2000-07</v>
      </c>
      <c r="F92" s="1">
        <v>-32.095999999999997</v>
      </c>
      <c r="G92" s="3">
        <f t="shared" si="12"/>
        <v>-336.77000000000004</v>
      </c>
      <c r="H92" s="3"/>
      <c r="I92" s="6">
        <v>36708</v>
      </c>
      <c r="J92" s="4">
        <f t="shared" si="10"/>
        <v>-336.77000000000004</v>
      </c>
      <c r="K92" s="4">
        <f>'TIC data'!AM295</f>
        <v>396.77100000000002</v>
      </c>
      <c r="L92" s="8">
        <f t="shared" si="11"/>
        <v>60.000999999999976</v>
      </c>
      <c r="M92" s="4"/>
      <c r="N92" s="3"/>
      <c r="O92" s="3"/>
      <c r="P92" s="3"/>
    </row>
    <row r="93" spans="1:16" ht="13" x14ac:dyDescent="0.3">
      <c r="A93" t="s">
        <v>283</v>
      </c>
      <c r="B93" s="4">
        <v>105.23520000000001</v>
      </c>
      <c r="C93" s="4">
        <f t="shared" si="9"/>
        <v>4.6561978450977151</v>
      </c>
      <c r="D93" s="3"/>
      <c r="E93" s="3" t="str">
        <f t="shared" si="8"/>
        <v>2000-08</v>
      </c>
      <c r="F93" s="1">
        <v>-30.52</v>
      </c>
      <c r="G93" s="3">
        <f t="shared" si="12"/>
        <v>-343.63600000000002</v>
      </c>
      <c r="H93" s="3"/>
      <c r="I93" s="6">
        <v>36739</v>
      </c>
      <c r="J93" s="4">
        <f t="shared" si="10"/>
        <v>-343.63600000000002</v>
      </c>
      <c r="K93" s="4">
        <f>'TIC data'!AM296</f>
        <v>432.24799999999999</v>
      </c>
      <c r="L93" s="8">
        <f t="shared" si="11"/>
        <v>88.611999999999966</v>
      </c>
      <c r="M93" s="4"/>
      <c r="N93" s="3"/>
      <c r="O93" s="3"/>
      <c r="P93" s="3"/>
    </row>
    <row r="94" spans="1:16" ht="13" x14ac:dyDescent="0.3">
      <c r="A94" t="s">
        <v>284</v>
      </c>
      <c r="B94" s="4">
        <v>106.7865</v>
      </c>
      <c r="C94" s="4">
        <f t="shared" si="9"/>
        <v>4.6708315140419909</v>
      </c>
      <c r="D94" s="3"/>
      <c r="E94" s="3" t="str">
        <f t="shared" si="8"/>
        <v>2000-09</v>
      </c>
      <c r="F94" s="1">
        <v>-34.591000000000001</v>
      </c>
      <c r="G94" s="3">
        <f t="shared" si="12"/>
        <v>-354.565</v>
      </c>
      <c r="H94" s="3"/>
      <c r="I94" s="6">
        <v>36770</v>
      </c>
      <c r="J94" s="4">
        <f t="shared" si="10"/>
        <v>-354.565</v>
      </c>
      <c r="K94" s="4">
        <f>'TIC data'!AM297</f>
        <v>448.58599999999996</v>
      </c>
      <c r="L94" s="8">
        <f t="shared" si="11"/>
        <v>94.020999999999958</v>
      </c>
      <c r="M94" s="4"/>
      <c r="N94" s="3"/>
      <c r="O94" s="3"/>
      <c r="P94" s="3"/>
    </row>
    <row r="95" spans="1:16" ht="13" x14ac:dyDescent="0.3">
      <c r="A95" t="s">
        <v>285</v>
      </c>
      <c r="B95" s="4">
        <v>108.4455</v>
      </c>
      <c r="C95" s="4">
        <f t="shared" si="9"/>
        <v>4.6862477426360591</v>
      </c>
      <c r="D95" s="3"/>
      <c r="E95" s="3" t="str">
        <f t="shared" si="8"/>
        <v>2000-10</v>
      </c>
      <c r="F95" s="1">
        <v>-34.057000000000002</v>
      </c>
      <c r="G95" s="3">
        <f t="shared" si="12"/>
        <v>-364.47700000000003</v>
      </c>
      <c r="H95" s="3"/>
      <c r="I95" s="6">
        <v>36800</v>
      </c>
      <c r="J95" s="4">
        <f t="shared" si="10"/>
        <v>-364.47700000000003</v>
      </c>
      <c r="K95" s="4">
        <f>'TIC data'!AM298</f>
        <v>471.78999999999996</v>
      </c>
      <c r="L95" s="8">
        <f t="shared" si="11"/>
        <v>107.31299999999993</v>
      </c>
      <c r="M95" s="4"/>
      <c r="N95" s="3"/>
      <c r="O95" s="3"/>
      <c r="P95" s="3"/>
    </row>
    <row r="96" spans="1:16" ht="13" x14ac:dyDescent="0.3">
      <c r="A96" t="s">
        <v>286</v>
      </c>
      <c r="B96" s="4">
        <v>109.3177</v>
      </c>
      <c r="C96" s="4">
        <f t="shared" si="9"/>
        <v>4.6942583216874256</v>
      </c>
      <c r="D96" s="3"/>
      <c r="E96" s="3" t="str">
        <f t="shared" si="8"/>
        <v>2000-11</v>
      </c>
      <c r="F96" s="1">
        <v>-33.457000000000001</v>
      </c>
      <c r="G96" s="3">
        <f t="shared" si="12"/>
        <v>-372.18900000000002</v>
      </c>
      <c r="H96" s="3"/>
      <c r="I96" s="6">
        <v>36831</v>
      </c>
      <c r="J96" s="4">
        <f t="shared" si="10"/>
        <v>-372.18900000000002</v>
      </c>
      <c r="K96" s="4">
        <f>'TIC data'!AM299</f>
        <v>486.53699999999998</v>
      </c>
      <c r="L96" s="8">
        <f t="shared" si="11"/>
        <v>114.34799999999996</v>
      </c>
      <c r="M96" s="4"/>
      <c r="N96" s="3"/>
      <c r="O96" s="3"/>
      <c r="P96" s="3"/>
    </row>
    <row r="97" spans="1:16" ht="13" x14ac:dyDescent="0.3">
      <c r="A97" t="s">
        <v>287</v>
      </c>
      <c r="B97" s="4">
        <v>107.3548</v>
      </c>
      <c r="C97" s="4">
        <f t="shared" si="9"/>
        <v>4.6761392368789645</v>
      </c>
      <c r="D97" s="3"/>
      <c r="E97" s="3" t="str">
        <f t="shared" si="8"/>
        <v>2000-12</v>
      </c>
      <c r="F97" s="1">
        <v>-34.216000000000001</v>
      </c>
      <c r="G97" s="3">
        <f t="shared" si="12"/>
        <v>-379.83700000000005</v>
      </c>
      <c r="H97" s="3"/>
      <c r="I97" s="6">
        <v>36861</v>
      </c>
      <c r="J97" s="4">
        <f t="shared" si="10"/>
        <v>-379.83700000000005</v>
      </c>
      <c r="K97" s="4">
        <f>'TIC data'!AM300</f>
        <v>494.71799999999996</v>
      </c>
      <c r="L97" s="8">
        <f t="shared" si="11"/>
        <v>114.88099999999991</v>
      </c>
      <c r="M97" s="4"/>
      <c r="N97" s="3"/>
      <c r="O97" s="3"/>
      <c r="P97" s="3"/>
    </row>
    <row r="98" spans="1:16" ht="13" x14ac:dyDescent="0.3">
      <c r="A98" t="s">
        <v>288</v>
      </c>
      <c r="B98" s="4">
        <v>99.895399999999995</v>
      </c>
      <c r="C98" s="4">
        <f t="shared" si="9"/>
        <v>4.6041236385483097</v>
      </c>
      <c r="D98" s="3"/>
      <c r="E98" s="3" t="str">
        <f t="shared" ref="E98:E129" si="13">A98</f>
        <v>2001-01</v>
      </c>
      <c r="F98" s="1">
        <v>-35.313000000000002</v>
      </c>
      <c r="G98" s="3">
        <f t="shared" si="12"/>
        <v>-387.56800000000004</v>
      </c>
      <c r="H98" s="3"/>
      <c r="I98" s="6">
        <v>36892</v>
      </c>
      <c r="J98" s="4">
        <f t="shared" si="10"/>
        <v>-387.56800000000004</v>
      </c>
      <c r="K98" s="4">
        <f>'TIC data'!AM301</f>
        <v>512.36899999999991</v>
      </c>
      <c r="L98" s="8">
        <f t="shared" si="11"/>
        <v>124.80099999999987</v>
      </c>
      <c r="M98" s="4"/>
      <c r="N98" s="3"/>
      <c r="O98" s="3"/>
      <c r="P98" s="3"/>
    </row>
    <row r="99" spans="1:16" ht="13" x14ac:dyDescent="0.3">
      <c r="A99" t="s">
        <v>289</v>
      </c>
      <c r="B99" s="4">
        <v>101.0774</v>
      </c>
      <c r="C99" s="4">
        <f t="shared" si="9"/>
        <v>4.6158865599889349</v>
      </c>
      <c r="D99" s="3"/>
      <c r="E99" s="3" t="str">
        <f t="shared" si="13"/>
        <v>2001-02</v>
      </c>
      <c r="F99" s="1">
        <v>-29.565999999999999</v>
      </c>
      <c r="G99" s="3">
        <f t="shared" si="12"/>
        <v>-386.59899999999999</v>
      </c>
      <c r="H99" s="3"/>
      <c r="I99" s="6">
        <v>36923</v>
      </c>
      <c r="J99" s="4">
        <f t="shared" si="10"/>
        <v>-386.59899999999999</v>
      </c>
      <c r="K99" s="4">
        <f>'TIC data'!AM302</f>
        <v>512.82299999999998</v>
      </c>
      <c r="L99" s="8">
        <f t="shared" si="11"/>
        <v>126.22399999999999</v>
      </c>
      <c r="M99" s="4"/>
      <c r="N99" s="3"/>
      <c r="O99" s="3"/>
      <c r="P99" s="3"/>
    </row>
    <row r="100" spans="1:16" ht="13" x14ac:dyDescent="0.3">
      <c r="A100" t="s">
        <v>290</v>
      </c>
      <c r="B100" s="4">
        <v>103.2256</v>
      </c>
      <c r="C100" s="4">
        <f t="shared" si="9"/>
        <v>4.6369168843006721</v>
      </c>
      <c r="D100" s="3"/>
      <c r="E100" s="3" t="str">
        <f t="shared" si="13"/>
        <v>2001-03</v>
      </c>
      <c r="F100" s="1">
        <v>-32.887</v>
      </c>
      <c r="G100" s="3">
        <f t="shared" si="12"/>
        <v>-387.60499999999996</v>
      </c>
      <c r="H100" s="3"/>
      <c r="I100" s="6">
        <v>36951</v>
      </c>
      <c r="J100" s="4">
        <f t="shared" si="10"/>
        <v>-387.60499999999996</v>
      </c>
      <c r="K100" s="4">
        <f>'TIC data'!AM303</f>
        <v>513.74300000000005</v>
      </c>
      <c r="L100" s="8">
        <f t="shared" si="11"/>
        <v>126.13800000000009</v>
      </c>
      <c r="M100" s="4"/>
      <c r="N100" s="3"/>
      <c r="O100" s="3"/>
      <c r="P100" s="3"/>
    </row>
    <row r="101" spans="1:16" ht="13" x14ac:dyDescent="0.3">
      <c r="A101" t="s">
        <v>291</v>
      </c>
      <c r="B101" s="4">
        <v>104.23739999999999</v>
      </c>
      <c r="C101" s="4">
        <f t="shared" si="9"/>
        <v>4.6466709900650001</v>
      </c>
      <c r="D101" s="3"/>
      <c r="E101" s="3" t="str">
        <f t="shared" si="13"/>
        <v>2001-04</v>
      </c>
      <c r="F101" s="1">
        <v>-31.545999999999999</v>
      </c>
      <c r="G101" s="3">
        <f t="shared" si="12"/>
        <v>-389.92899999999997</v>
      </c>
      <c r="H101" s="3"/>
      <c r="I101" s="6">
        <v>36982</v>
      </c>
      <c r="J101" s="4">
        <f t="shared" si="10"/>
        <v>-389.92899999999997</v>
      </c>
      <c r="K101" s="4">
        <f>'TIC data'!AM304</f>
        <v>536.78499999999997</v>
      </c>
      <c r="L101" s="8">
        <f t="shared" si="11"/>
        <v>146.85599999999999</v>
      </c>
      <c r="M101" s="4"/>
      <c r="N101" s="3"/>
      <c r="O101" s="3"/>
      <c r="P101" s="3"/>
    </row>
    <row r="102" spans="1:16" ht="13" x14ac:dyDescent="0.3">
      <c r="A102" t="s">
        <v>292</v>
      </c>
      <c r="B102" s="4">
        <v>104.413</v>
      </c>
      <c r="C102" s="4">
        <f t="shared" si="9"/>
        <v>4.6483541887692299</v>
      </c>
      <c r="D102" s="3"/>
      <c r="E102" s="3" t="str">
        <f t="shared" si="13"/>
        <v>2001-05</v>
      </c>
      <c r="F102" s="1">
        <v>-28.029</v>
      </c>
      <c r="G102" s="3">
        <f t="shared" si="12"/>
        <v>-387.71199999999993</v>
      </c>
      <c r="H102" s="3"/>
      <c r="I102" s="6">
        <v>37012</v>
      </c>
      <c r="J102" s="4">
        <f t="shared" si="10"/>
        <v>-387.71199999999993</v>
      </c>
      <c r="K102" s="4">
        <f>'TIC data'!AM305</f>
        <v>548.23799999999994</v>
      </c>
      <c r="L102" s="8">
        <f t="shared" si="11"/>
        <v>160.52600000000001</v>
      </c>
      <c r="M102" s="4"/>
      <c r="N102" s="3"/>
      <c r="O102" s="3"/>
      <c r="P102" s="3"/>
    </row>
    <row r="103" spans="1:16" ht="13" x14ac:dyDescent="0.3">
      <c r="A103" t="s">
        <v>293</v>
      </c>
      <c r="B103" s="4">
        <v>105.2786</v>
      </c>
      <c r="C103" s="4">
        <f t="shared" si="9"/>
        <v>4.6566101696162487</v>
      </c>
      <c r="D103" s="3"/>
      <c r="E103" s="3" t="str">
        <f t="shared" si="13"/>
        <v>2001-06</v>
      </c>
      <c r="F103" s="1">
        <v>-29.594000000000001</v>
      </c>
      <c r="G103" s="3">
        <f t="shared" si="12"/>
        <v>-385.87199999999996</v>
      </c>
      <c r="H103" s="3"/>
      <c r="I103" s="6">
        <v>37043</v>
      </c>
      <c r="J103" s="4">
        <f t="shared" si="10"/>
        <v>-385.87199999999996</v>
      </c>
      <c r="K103" s="4">
        <f>'TIC data'!AM306</f>
        <v>533.29099999999994</v>
      </c>
      <c r="L103" s="8">
        <f t="shared" si="11"/>
        <v>147.41899999999998</v>
      </c>
      <c r="M103" s="4"/>
      <c r="N103" s="3"/>
      <c r="O103" s="3"/>
      <c r="P103" s="3"/>
    </row>
    <row r="104" spans="1:16" ht="13" x14ac:dyDescent="0.3">
      <c r="A104" t="s">
        <v>294</v>
      </c>
      <c r="B104" s="4">
        <v>105.251</v>
      </c>
      <c r="C104" s="4">
        <f t="shared" si="9"/>
        <v>4.6563479737050031</v>
      </c>
      <c r="D104" s="3"/>
      <c r="E104" s="3" t="str">
        <f t="shared" si="13"/>
        <v>2001-07</v>
      </c>
      <c r="F104" s="1">
        <v>-30.408000000000001</v>
      </c>
      <c r="G104" s="3">
        <f t="shared" si="12"/>
        <v>-384.18399999999997</v>
      </c>
      <c r="H104" s="3"/>
      <c r="I104" s="6">
        <v>37073</v>
      </c>
      <c r="J104" s="4">
        <f t="shared" si="10"/>
        <v>-384.18399999999997</v>
      </c>
      <c r="K104" s="4">
        <f>'TIC data'!AM307</f>
        <v>557.346</v>
      </c>
      <c r="L104" s="8">
        <f t="shared" si="11"/>
        <v>173.16200000000003</v>
      </c>
      <c r="M104" s="4"/>
      <c r="N104" s="3"/>
      <c r="O104" s="3"/>
      <c r="P104" s="3"/>
    </row>
    <row r="105" spans="1:16" ht="13" x14ac:dyDescent="0.3">
      <c r="A105" t="s">
        <v>295</v>
      </c>
      <c r="B105" s="4">
        <v>103.08029999999999</v>
      </c>
      <c r="C105" s="4">
        <f t="shared" si="9"/>
        <v>4.6355082961408138</v>
      </c>
      <c r="D105" s="3"/>
      <c r="E105" s="3" t="str">
        <f t="shared" si="13"/>
        <v>2001-08</v>
      </c>
      <c r="F105" s="1">
        <v>-28.638000000000002</v>
      </c>
      <c r="G105" s="3">
        <f t="shared" si="12"/>
        <v>-382.30200000000002</v>
      </c>
      <c r="H105" s="3"/>
      <c r="I105" s="6">
        <v>37104</v>
      </c>
      <c r="J105" s="4">
        <f t="shared" si="10"/>
        <v>-382.30200000000002</v>
      </c>
      <c r="K105" s="4">
        <f>'TIC data'!AM308</f>
        <v>538.06399999999996</v>
      </c>
      <c r="L105" s="8">
        <f t="shared" si="11"/>
        <v>155.76199999999994</v>
      </c>
      <c r="M105" s="4"/>
      <c r="N105" s="3"/>
      <c r="O105" s="3"/>
      <c r="P105" s="3"/>
    </row>
    <row r="106" spans="1:16" ht="13" x14ac:dyDescent="0.3">
      <c r="A106" t="s">
        <v>296</v>
      </c>
      <c r="B106" s="4">
        <v>102.56959999999999</v>
      </c>
      <c r="C106" s="4">
        <f t="shared" si="9"/>
        <v>4.6305415925359528</v>
      </c>
      <c r="D106" s="3"/>
      <c r="E106" s="3" t="str">
        <f t="shared" si="13"/>
        <v>2001-09</v>
      </c>
      <c r="F106" s="1">
        <v>-31.119</v>
      </c>
      <c r="G106" s="3">
        <f t="shared" si="12"/>
        <v>-378.83000000000004</v>
      </c>
      <c r="H106" s="3"/>
      <c r="I106" s="6">
        <v>37135</v>
      </c>
      <c r="J106" s="4">
        <f t="shared" si="10"/>
        <v>-378.83000000000004</v>
      </c>
      <c r="K106" s="4">
        <f>'TIC data'!AM309</f>
        <v>508.42999999999995</v>
      </c>
      <c r="L106" s="8">
        <f t="shared" si="11"/>
        <v>129.59999999999991</v>
      </c>
      <c r="M106" s="4"/>
      <c r="N106" s="3"/>
      <c r="O106" s="3"/>
      <c r="P106" s="3"/>
    </row>
    <row r="107" spans="1:16" ht="13" x14ac:dyDescent="0.3">
      <c r="A107" t="s">
        <v>297</v>
      </c>
      <c r="B107" s="4">
        <v>103.3912</v>
      </c>
      <c r="C107" s="4">
        <f t="shared" si="9"/>
        <v>4.6385198520695967</v>
      </c>
      <c r="D107" s="3"/>
      <c r="E107" s="3" t="str">
        <f t="shared" si="13"/>
        <v>2001-10</v>
      </c>
      <c r="F107" s="1">
        <v>-31.140999999999998</v>
      </c>
      <c r="G107" s="3">
        <f t="shared" si="12"/>
        <v>-375.91399999999993</v>
      </c>
      <c r="H107" s="3"/>
      <c r="I107" s="6">
        <v>37165</v>
      </c>
      <c r="J107" s="4">
        <f t="shared" si="10"/>
        <v>-375.91399999999993</v>
      </c>
      <c r="K107" s="4">
        <f>'TIC data'!AM310</f>
        <v>505.85399999999998</v>
      </c>
      <c r="L107" s="8">
        <f t="shared" si="11"/>
        <v>129.94000000000005</v>
      </c>
      <c r="M107" s="4"/>
      <c r="N107" s="3"/>
      <c r="O107" s="3"/>
      <c r="P107" s="3"/>
    </row>
    <row r="108" spans="1:16" ht="13" x14ac:dyDescent="0.3">
      <c r="A108" t="s">
        <v>298</v>
      </c>
      <c r="B108" s="4">
        <v>104.81319999999999</v>
      </c>
      <c r="C108" s="4">
        <f t="shared" si="9"/>
        <v>4.6521797181538513</v>
      </c>
      <c r="D108" s="3"/>
      <c r="E108" s="3" t="str">
        <f t="shared" si="13"/>
        <v>2001-11</v>
      </c>
      <c r="F108" s="1">
        <v>-29.975999999999999</v>
      </c>
      <c r="G108" s="3">
        <f t="shared" si="12"/>
        <v>-372.43299999999994</v>
      </c>
      <c r="H108" s="3"/>
      <c r="I108" s="6">
        <v>37196</v>
      </c>
      <c r="J108" s="4">
        <f t="shared" si="10"/>
        <v>-372.43299999999994</v>
      </c>
      <c r="K108" s="4">
        <f>'TIC data'!AM311</f>
        <v>491.96199999999999</v>
      </c>
      <c r="L108" s="8">
        <f t="shared" si="11"/>
        <v>119.52900000000005</v>
      </c>
      <c r="M108" s="4"/>
      <c r="N108" s="3"/>
      <c r="O108" s="3"/>
      <c r="P108" s="3"/>
    </row>
    <row r="109" spans="1:16" ht="13" x14ac:dyDescent="0.3">
      <c r="A109" t="s">
        <v>299</v>
      </c>
      <c r="B109" s="4">
        <v>105.24469999999999</v>
      </c>
      <c r="C109" s="4">
        <f t="shared" si="9"/>
        <v>4.6562881150000335</v>
      </c>
      <c r="D109" s="3"/>
      <c r="E109" s="3" t="str">
        <f t="shared" si="13"/>
        <v>2001-12</v>
      </c>
      <c r="F109" s="1">
        <v>-26.914999999999999</v>
      </c>
      <c r="G109" s="3">
        <f t="shared" si="12"/>
        <v>-365.13200000000006</v>
      </c>
      <c r="H109" s="3"/>
      <c r="I109" s="6">
        <v>37226</v>
      </c>
      <c r="J109" s="4">
        <f t="shared" si="10"/>
        <v>-365.13200000000006</v>
      </c>
      <c r="K109" s="4">
        <f>'TIC data'!AM312</f>
        <v>482.72399999999999</v>
      </c>
      <c r="L109" s="8">
        <f t="shared" si="11"/>
        <v>117.59199999999993</v>
      </c>
      <c r="M109" s="4"/>
      <c r="N109" s="3"/>
      <c r="O109" s="3"/>
      <c r="P109" s="3"/>
    </row>
    <row r="110" spans="1:16" ht="13" x14ac:dyDescent="0.3">
      <c r="A110" t="s">
        <v>300</v>
      </c>
      <c r="B110" s="4">
        <v>106.7894</v>
      </c>
      <c r="C110" s="4">
        <f t="shared" si="9"/>
        <v>4.6708586706640647</v>
      </c>
      <c r="D110" s="3"/>
      <c r="E110" s="3" t="str">
        <f t="shared" si="13"/>
        <v>2002-01</v>
      </c>
      <c r="F110" s="1">
        <v>-29.957000000000001</v>
      </c>
      <c r="G110" s="3">
        <f t="shared" si="12"/>
        <v>-359.77600000000001</v>
      </c>
      <c r="H110" s="3"/>
      <c r="I110" s="6">
        <v>37257</v>
      </c>
      <c r="J110" s="4">
        <f t="shared" si="10"/>
        <v>-359.77600000000001</v>
      </c>
      <c r="K110" s="4">
        <f>'TIC data'!AM313</f>
        <v>466.69100000000003</v>
      </c>
      <c r="L110" s="8">
        <f t="shared" si="11"/>
        <v>106.91500000000002</v>
      </c>
      <c r="M110" s="4"/>
      <c r="N110" s="3"/>
      <c r="O110" s="3"/>
      <c r="P110" s="3"/>
    </row>
    <row r="111" spans="1:16" ht="13" x14ac:dyDescent="0.3">
      <c r="A111" t="s">
        <v>301</v>
      </c>
      <c r="B111" s="4">
        <v>107.4689</v>
      </c>
      <c r="C111" s="4">
        <f t="shared" si="9"/>
        <v>4.6772015033861454</v>
      </c>
      <c r="D111" s="3"/>
      <c r="E111" s="3" t="str">
        <f t="shared" si="13"/>
        <v>2002-02</v>
      </c>
      <c r="F111" s="1">
        <v>-32.552</v>
      </c>
      <c r="G111" s="3">
        <f t="shared" si="12"/>
        <v>-362.762</v>
      </c>
      <c r="H111" s="3"/>
      <c r="I111" s="6">
        <v>37288</v>
      </c>
      <c r="J111" s="4">
        <f t="shared" si="10"/>
        <v>-362.762</v>
      </c>
      <c r="K111" s="4">
        <f>'TIC data'!AM314</f>
        <v>436.17400000000004</v>
      </c>
      <c r="L111" s="8">
        <f t="shared" si="11"/>
        <v>73.412000000000035</v>
      </c>
      <c r="M111" s="4"/>
      <c r="N111" s="3"/>
      <c r="O111" s="3"/>
      <c r="P111" s="3"/>
    </row>
    <row r="112" spans="1:16" ht="13" x14ac:dyDescent="0.3">
      <c r="A112" t="s">
        <v>302</v>
      </c>
      <c r="B112" s="4">
        <v>106.6494</v>
      </c>
      <c r="C112" s="4">
        <f t="shared" si="9"/>
        <v>4.6695468190224902</v>
      </c>
      <c r="D112" s="3"/>
      <c r="E112" s="3" t="str">
        <f t="shared" si="13"/>
        <v>2002-03</v>
      </c>
      <c r="F112" s="1">
        <v>-31.167999999999999</v>
      </c>
      <c r="G112" s="3">
        <f t="shared" si="12"/>
        <v>-361.04300000000001</v>
      </c>
      <c r="H112" s="3"/>
      <c r="I112" s="6">
        <v>37316</v>
      </c>
      <c r="J112" s="4">
        <f t="shared" si="10"/>
        <v>-361.04300000000001</v>
      </c>
      <c r="K112" s="4">
        <f>'TIC data'!AM315</f>
        <v>459.49700000000001</v>
      </c>
      <c r="L112" s="8">
        <f t="shared" si="11"/>
        <v>98.454000000000008</v>
      </c>
      <c r="M112" s="4"/>
      <c r="N112" s="3"/>
      <c r="O112" s="3"/>
      <c r="P112" s="3"/>
    </row>
    <row r="113" spans="1:16" ht="13" x14ac:dyDescent="0.3">
      <c r="A113" t="s">
        <v>303</v>
      </c>
      <c r="B113" s="4">
        <v>105.916</v>
      </c>
      <c r="C113" s="4">
        <f t="shared" si="9"/>
        <v>4.6626463271251541</v>
      </c>
      <c r="D113" s="3"/>
      <c r="E113" s="3" t="str">
        <f t="shared" si="13"/>
        <v>2002-04</v>
      </c>
      <c r="F113" s="1">
        <v>-34.076000000000001</v>
      </c>
      <c r="G113" s="3">
        <f t="shared" si="12"/>
        <v>-363.57300000000004</v>
      </c>
      <c r="H113" s="3"/>
      <c r="I113" s="6">
        <v>37347</v>
      </c>
      <c r="J113" s="4">
        <f t="shared" si="10"/>
        <v>-363.57300000000004</v>
      </c>
      <c r="K113" s="4">
        <f>'TIC data'!AM316</f>
        <v>461.89499999999998</v>
      </c>
      <c r="L113" s="8">
        <f t="shared" si="11"/>
        <v>98.321999999999946</v>
      </c>
      <c r="M113" s="4"/>
      <c r="N113" s="3"/>
      <c r="O113" s="3"/>
      <c r="P113" s="3"/>
    </row>
    <row r="114" spans="1:16" ht="13" x14ac:dyDescent="0.3">
      <c r="A114" t="s">
        <v>304</v>
      </c>
      <c r="B114" s="4">
        <v>103.1352</v>
      </c>
      <c r="C114" s="4">
        <f t="shared" si="9"/>
        <v>4.6360407488545725</v>
      </c>
      <c r="D114" s="3"/>
      <c r="E114" s="3" t="str">
        <f t="shared" si="13"/>
        <v>2002-05</v>
      </c>
      <c r="F114" s="1">
        <v>-34.390999999999998</v>
      </c>
      <c r="G114" s="3">
        <f t="shared" si="12"/>
        <v>-369.93500000000006</v>
      </c>
      <c r="H114" s="3"/>
      <c r="I114" s="6">
        <v>37377</v>
      </c>
      <c r="J114" s="4">
        <f t="shared" ref="J114:J145" si="14">G114</f>
        <v>-369.93500000000006</v>
      </c>
      <c r="K114" s="4">
        <f>'TIC data'!AM317</f>
        <v>453.87799999999999</v>
      </c>
      <c r="L114" s="8">
        <f t="shared" ref="L114:L145" si="15">G114+K114</f>
        <v>83.942999999999927</v>
      </c>
      <c r="M114" s="4"/>
      <c r="N114" s="3"/>
      <c r="O114" s="3"/>
      <c r="P114" s="3"/>
    </row>
    <row r="115" spans="1:16" ht="13" x14ac:dyDescent="0.3">
      <c r="A115" t="s">
        <v>305</v>
      </c>
      <c r="B115" s="4">
        <v>100.6784</v>
      </c>
      <c r="C115" s="4">
        <f t="shared" si="9"/>
        <v>4.6119312782059936</v>
      </c>
      <c r="D115" s="3"/>
      <c r="E115" s="3" t="str">
        <f t="shared" si="13"/>
        <v>2002-06</v>
      </c>
      <c r="F115" s="1">
        <v>-35.488999999999997</v>
      </c>
      <c r="G115" s="3">
        <f t="shared" si="12"/>
        <v>-375.83</v>
      </c>
      <c r="H115" s="3"/>
      <c r="I115" s="6">
        <v>37408</v>
      </c>
      <c r="J115" s="4">
        <f t="shared" si="14"/>
        <v>-375.83</v>
      </c>
      <c r="K115" s="4">
        <f>'TIC data'!AM318</f>
        <v>454.70299999999997</v>
      </c>
      <c r="L115" s="8">
        <f t="shared" si="15"/>
        <v>78.87299999999999</v>
      </c>
      <c r="M115" s="4"/>
      <c r="N115" s="3"/>
      <c r="O115" s="3"/>
      <c r="P115" s="3"/>
    </row>
    <row r="116" spans="1:16" ht="13" x14ac:dyDescent="0.3">
      <c r="A116" t="s">
        <v>306</v>
      </c>
      <c r="B116" s="4">
        <v>98.365499999999997</v>
      </c>
      <c r="C116" s="4">
        <f t="shared" si="9"/>
        <v>4.588690132824139</v>
      </c>
      <c r="D116" s="3"/>
      <c r="E116" s="3" t="str">
        <f t="shared" si="13"/>
        <v>2002-07</v>
      </c>
      <c r="F116" s="1">
        <v>-34.472000000000001</v>
      </c>
      <c r="G116" s="3">
        <f t="shared" si="12"/>
        <v>-379.89399999999995</v>
      </c>
      <c r="H116" s="3"/>
      <c r="I116" s="6">
        <v>37438</v>
      </c>
      <c r="J116" s="4">
        <f t="shared" si="14"/>
        <v>-379.89399999999995</v>
      </c>
      <c r="K116" s="4">
        <f>'TIC data'!AM319</f>
        <v>463</v>
      </c>
      <c r="L116" s="8">
        <f t="shared" si="15"/>
        <v>83.106000000000051</v>
      </c>
      <c r="M116" s="4"/>
      <c r="N116" s="3"/>
      <c r="O116" s="3"/>
      <c r="P116" s="3"/>
    </row>
    <row r="117" spans="1:16" ht="13" x14ac:dyDescent="0.3">
      <c r="A117" t="s">
        <v>307</v>
      </c>
      <c r="B117" s="4">
        <v>99.608699999999999</v>
      </c>
      <c r="C117" s="4">
        <f t="shared" si="9"/>
        <v>4.6012495101734068</v>
      </c>
      <c r="D117" s="3"/>
      <c r="E117" s="3" t="str">
        <f t="shared" si="13"/>
        <v>2002-08</v>
      </c>
      <c r="F117" s="1">
        <v>-36.435000000000002</v>
      </c>
      <c r="G117" s="3">
        <f t="shared" si="12"/>
        <v>-387.69099999999992</v>
      </c>
      <c r="H117" s="3"/>
      <c r="I117" s="6">
        <v>37469</v>
      </c>
      <c r="J117" s="4">
        <f t="shared" si="14"/>
        <v>-387.69099999999992</v>
      </c>
      <c r="K117" s="4">
        <f>'TIC data'!AM320</f>
        <v>459.96700000000004</v>
      </c>
      <c r="L117" s="8">
        <f t="shared" si="15"/>
        <v>72.276000000000124</v>
      </c>
      <c r="M117" s="4"/>
      <c r="N117" s="3"/>
      <c r="O117" s="3"/>
      <c r="P117" s="3"/>
    </row>
    <row r="118" spans="1:16" ht="13" x14ac:dyDescent="0.3">
      <c r="A118" t="s">
        <v>308</v>
      </c>
      <c r="B118" s="4">
        <v>99.824100000000001</v>
      </c>
      <c r="C118" s="4">
        <f t="shared" si="9"/>
        <v>4.6034096371310316</v>
      </c>
      <c r="D118" s="3"/>
      <c r="E118" s="3" t="str">
        <f t="shared" si="13"/>
        <v>2002-09</v>
      </c>
      <c r="F118" s="1">
        <v>-37.030999999999999</v>
      </c>
      <c r="G118" s="3">
        <f t="shared" si="12"/>
        <v>-393.60299999999995</v>
      </c>
      <c r="H118" s="3"/>
      <c r="I118" s="6">
        <v>37500</v>
      </c>
      <c r="J118" s="4">
        <f t="shared" si="14"/>
        <v>-393.60299999999995</v>
      </c>
      <c r="K118" s="4">
        <f>'TIC data'!AM321</f>
        <v>461.12899999999996</v>
      </c>
      <c r="L118" s="8">
        <f t="shared" si="15"/>
        <v>67.52600000000001</v>
      </c>
      <c r="M118" s="4"/>
      <c r="N118" s="3"/>
      <c r="O118" s="3"/>
      <c r="P118" s="3"/>
    </row>
    <row r="119" spans="1:16" ht="13" x14ac:dyDescent="0.3">
      <c r="A119" t="s">
        <v>309</v>
      </c>
      <c r="B119" s="4">
        <v>100.2912</v>
      </c>
      <c r="C119" s="4">
        <f t="shared" si="9"/>
        <v>4.6080779543291612</v>
      </c>
      <c r="D119" s="3"/>
      <c r="E119" s="3" t="str">
        <f t="shared" si="13"/>
        <v>2002-10</v>
      </c>
      <c r="F119" s="1">
        <v>-35.268999999999998</v>
      </c>
      <c r="G119" s="3">
        <f t="shared" si="12"/>
        <v>-397.73099999999999</v>
      </c>
      <c r="H119" s="3"/>
      <c r="I119" s="6">
        <v>37530</v>
      </c>
      <c r="J119" s="4">
        <f t="shared" si="14"/>
        <v>-397.73099999999999</v>
      </c>
      <c r="K119" s="4">
        <f>'TIC data'!AM322</f>
        <v>453.149</v>
      </c>
      <c r="L119" s="8">
        <f t="shared" si="15"/>
        <v>55.418000000000006</v>
      </c>
      <c r="M119" s="4"/>
      <c r="N119" s="3"/>
      <c r="O119" s="3"/>
      <c r="P119" s="3"/>
    </row>
    <row r="120" spans="1:16" ht="13" x14ac:dyDescent="0.3">
      <c r="A120" t="s">
        <v>310</v>
      </c>
      <c r="B120" s="4">
        <v>99.016300000000001</v>
      </c>
      <c r="C120" s="4">
        <f t="shared" si="9"/>
        <v>4.5952844830464947</v>
      </c>
      <c r="D120" s="3"/>
      <c r="E120" s="3" t="str">
        <f t="shared" si="13"/>
        <v>2002-11</v>
      </c>
      <c r="F120" s="1">
        <v>-39.619</v>
      </c>
      <c r="G120" s="3">
        <f t="shared" si="12"/>
        <v>-407.37400000000002</v>
      </c>
      <c r="H120" s="3"/>
      <c r="I120" s="6">
        <v>37561</v>
      </c>
      <c r="J120" s="4">
        <f t="shared" si="14"/>
        <v>-407.37400000000002</v>
      </c>
      <c r="K120" s="4">
        <f>'TIC data'!AM323</f>
        <v>455.75300000000004</v>
      </c>
      <c r="L120" s="8">
        <f t="shared" si="15"/>
        <v>48.379000000000019</v>
      </c>
      <c r="M120" s="4"/>
      <c r="N120" s="3"/>
      <c r="O120" s="3"/>
      <c r="P120" s="3"/>
    </row>
    <row r="121" spans="1:16" ht="13" x14ac:dyDescent="0.3">
      <c r="A121" t="s">
        <v>311</v>
      </c>
      <c r="B121" s="4">
        <v>98.046800000000005</v>
      </c>
      <c r="C121" s="4">
        <f t="shared" si="9"/>
        <v>4.5854449156997816</v>
      </c>
      <c r="D121" s="3"/>
      <c r="E121" s="3" t="str">
        <f t="shared" si="13"/>
        <v>2002-12</v>
      </c>
      <c r="F121" s="1">
        <v>-43.27</v>
      </c>
      <c r="G121" s="3">
        <f t="shared" si="12"/>
        <v>-423.72899999999993</v>
      </c>
      <c r="H121" s="3"/>
      <c r="I121" s="6">
        <v>37591</v>
      </c>
      <c r="J121" s="4">
        <f t="shared" si="14"/>
        <v>-423.72899999999993</v>
      </c>
      <c r="K121" s="4">
        <f>'TIC data'!AM324</f>
        <v>454.64300000000009</v>
      </c>
      <c r="L121" s="8">
        <f t="shared" si="15"/>
        <v>30.914000000000158</v>
      </c>
      <c r="M121" s="4"/>
      <c r="N121" s="3"/>
      <c r="O121" s="3"/>
      <c r="P121" s="3"/>
    </row>
    <row r="122" spans="1:16" ht="13" x14ac:dyDescent="0.3">
      <c r="A122" t="s">
        <v>312</v>
      </c>
      <c r="B122" s="4">
        <v>95.689099999999996</v>
      </c>
      <c r="C122" s="4">
        <f t="shared" si="9"/>
        <v>4.5611043943754286</v>
      </c>
      <c r="D122" s="3"/>
      <c r="E122" s="3" t="str">
        <f t="shared" si="13"/>
        <v>2003-01</v>
      </c>
      <c r="F122" s="1">
        <v>-41.152000000000001</v>
      </c>
      <c r="G122" s="3">
        <f t="shared" si="12"/>
        <v>-434.92399999999992</v>
      </c>
      <c r="H122" s="3"/>
      <c r="I122" s="6">
        <v>37622</v>
      </c>
      <c r="J122" s="4">
        <f t="shared" si="14"/>
        <v>-434.92399999999992</v>
      </c>
      <c r="K122" s="4">
        <f>'TIC data'!AM325</f>
        <v>467.50000000000011</v>
      </c>
      <c r="L122" s="8">
        <f t="shared" si="15"/>
        <v>32.576000000000192</v>
      </c>
      <c r="M122" s="4"/>
      <c r="N122" s="3"/>
      <c r="O122" s="3"/>
      <c r="P122" s="3"/>
    </row>
    <row r="123" spans="1:16" ht="13" x14ac:dyDescent="0.3">
      <c r="A123" t="s">
        <v>313</v>
      </c>
      <c r="B123" s="4">
        <v>94.774000000000001</v>
      </c>
      <c r="C123" s="4">
        <f t="shared" si="9"/>
        <v>4.5514951100410093</v>
      </c>
      <c r="D123" s="3"/>
      <c r="E123" s="3" t="str">
        <f t="shared" si="13"/>
        <v>2003-02</v>
      </c>
      <c r="F123" s="1">
        <v>-39.692</v>
      </c>
      <c r="G123" s="3">
        <f t="shared" si="12"/>
        <v>-442.06400000000002</v>
      </c>
      <c r="H123" s="3"/>
      <c r="I123" s="6">
        <v>37653</v>
      </c>
      <c r="J123" s="4">
        <f t="shared" si="14"/>
        <v>-442.06400000000002</v>
      </c>
      <c r="K123" s="4">
        <f>'TIC data'!AM326</f>
        <v>479.6260000000002</v>
      </c>
      <c r="L123" s="8">
        <f t="shared" si="15"/>
        <v>37.562000000000182</v>
      </c>
      <c r="M123" s="4"/>
      <c r="N123" s="3"/>
      <c r="O123" s="3"/>
      <c r="P123" s="3"/>
    </row>
    <row r="124" spans="1:16" ht="13" x14ac:dyDescent="0.3">
      <c r="A124" t="s">
        <v>314</v>
      </c>
      <c r="B124" s="4">
        <v>94.081599999999995</v>
      </c>
      <c r="C124" s="4">
        <f t="shared" si="9"/>
        <v>4.5441624908084242</v>
      </c>
      <c r="D124" s="3"/>
      <c r="E124" s="3" t="str">
        <f t="shared" si="13"/>
        <v>2003-03</v>
      </c>
      <c r="F124" s="1">
        <v>-43.807000000000002</v>
      </c>
      <c r="G124" s="3">
        <f t="shared" si="12"/>
        <v>-454.70300000000003</v>
      </c>
      <c r="H124" s="3"/>
      <c r="I124" s="6">
        <v>37681</v>
      </c>
      <c r="J124" s="4">
        <f t="shared" si="14"/>
        <v>-454.70300000000003</v>
      </c>
      <c r="K124" s="4">
        <f>'TIC data'!AM327</f>
        <v>452.98800000000006</v>
      </c>
      <c r="L124" s="8">
        <f t="shared" si="15"/>
        <v>-1.714999999999975</v>
      </c>
      <c r="M124" s="4"/>
      <c r="N124" s="3"/>
      <c r="O124" s="3"/>
      <c r="P124" s="3"/>
    </row>
    <row r="125" spans="1:16" ht="13" x14ac:dyDescent="0.3">
      <c r="A125" t="s">
        <v>315</v>
      </c>
      <c r="B125" s="4">
        <v>93.792599999999993</v>
      </c>
      <c r="C125" s="4">
        <f t="shared" si="9"/>
        <v>4.5410859616421044</v>
      </c>
      <c r="D125" s="3"/>
      <c r="E125" s="3" t="str">
        <f t="shared" si="13"/>
        <v>2003-04</v>
      </c>
      <c r="F125" s="1">
        <v>-42.435000000000002</v>
      </c>
      <c r="G125" s="3">
        <f t="shared" si="12"/>
        <v>-463.06200000000001</v>
      </c>
      <c r="H125" s="3"/>
      <c r="I125" s="6">
        <v>37712</v>
      </c>
      <c r="J125" s="4">
        <f t="shared" si="14"/>
        <v>-463.06200000000001</v>
      </c>
      <c r="K125" s="4">
        <f>'TIC data'!AM328</f>
        <v>455.90999999999997</v>
      </c>
      <c r="L125" s="8">
        <f t="shared" si="15"/>
        <v>-7.1520000000000437</v>
      </c>
      <c r="M125" s="4"/>
      <c r="N125" s="3"/>
      <c r="O125" s="3"/>
      <c r="P125" s="3"/>
    </row>
    <row r="126" spans="1:16" ht="13" x14ac:dyDescent="0.3">
      <c r="A126" t="s">
        <v>316</v>
      </c>
      <c r="B126" s="4">
        <v>89.662499999999994</v>
      </c>
      <c r="C126" s="4">
        <f t="shared" si="9"/>
        <v>4.4960526214525531</v>
      </c>
      <c r="D126" s="3"/>
      <c r="E126" s="3" t="str">
        <f t="shared" si="13"/>
        <v>2003-05</v>
      </c>
      <c r="F126" s="1">
        <v>-41.122999999999998</v>
      </c>
      <c r="G126" s="3">
        <f t="shared" si="12"/>
        <v>-469.79399999999998</v>
      </c>
      <c r="H126" s="3"/>
      <c r="I126" s="6">
        <v>37742</v>
      </c>
      <c r="J126" s="4">
        <f t="shared" si="14"/>
        <v>-469.79399999999998</v>
      </c>
      <c r="K126" s="4">
        <f>'TIC data'!AM329</f>
        <v>462.91200000000009</v>
      </c>
      <c r="L126" s="8">
        <f t="shared" si="15"/>
        <v>-6.8819999999998913</v>
      </c>
      <c r="M126" s="4"/>
      <c r="N126" s="3"/>
      <c r="O126" s="3"/>
      <c r="P126" s="3"/>
    </row>
    <row r="127" spans="1:16" ht="13" x14ac:dyDescent="0.3">
      <c r="A127" t="s">
        <v>317</v>
      </c>
      <c r="B127" s="4">
        <v>88.759399999999999</v>
      </c>
      <c r="C127" s="4">
        <f t="shared" si="9"/>
        <v>4.4859293382398331</v>
      </c>
      <c r="D127" s="3"/>
      <c r="E127" s="3" t="str">
        <f t="shared" si="13"/>
        <v>2003-06</v>
      </c>
      <c r="F127" s="1">
        <v>-40.134</v>
      </c>
      <c r="G127" s="3">
        <f t="shared" si="12"/>
        <v>-474.43900000000008</v>
      </c>
      <c r="H127" s="3"/>
      <c r="I127" s="6">
        <v>37773</v>
      </c>
      <c r="J127" s="4">
        <f t="shared" si="14"/>
        <v>-474.43900000000008</v>
      </c>
      <c r="K127" s="4">
        <f>'TIC data'!AM330</f>
        <v>451.59299999999996</v>
      </c>
      <c r="L127" s="8">
        <f t="shared" si="15"/>
        <v>-22.846000000000117</v>
      </c>
      <c r="M127" s="4"/>
      <c r="N127" s="3"/>
      <c r="O127" s="3"/>
      <c r="P127" s="3"/>
    </row>
    <row r="128" spans="1:16" ht="13" x14ac:dyDescent="0.3">
      <c r="A128" t="s">
        <v>318</v>
      </c>
      <c r="B128" s="4">
        <v>90.390900000000002</v>
      </c>
      <c r="C128" s="4">
        <f t="shared" si="9"/>
        <v>4.5041435986143847</v>
      </c>
      <c r="D128" s="3"/>
      <c r="E128" s="3" t="str">
        <f t="shared" si="13"/>
        <v>2003-07</v>
      </c>
      <c r="F128" s="1">
        <v>-41.591999999999999</v>
      </c>
      <c r="G128" s="3">
        <f t="shared" si="12"/>
        <v>-481.55900000000003</v>
      </c>
      <c r="H128" s="3"/>
      <c r="I128" s="6">
        <v>37803</v>
      </c>
      <c r="J128" s="4">
        <f t="shared" si="14"/>
        <v>-481.55900000000003</v>
      </c>
      <c r="K128" s="4">
        <f>'TIC data'!AM331</f>
        <v>436.83000000000004</v>
      </c>
      <c r="L128" s="8">
        <f t="shared" si="15"/>
        <v>-44.728999999999985</v>
      </c>
      <c r="M128" s="4"/>
      <c r="N128" s="3"/>
      <c r="O128" s="3"/>
      <c r="P128" s="3"/>
    </row>
    <row r="129" spans="1:16" ht="13" x14ac:dyDescent="0.3">
      <c r="A129" t="s">
        <v>319</v>
      </c>
      <c r="B129" s="4">
        <v>91.492000000000004</v>
      </c>
      <c r="C129" s="4">
        <f t="shared" si="9"/>
        <v>4.5162515367651128</v>
      </c>
      <c r="D129" s="3"/>
      <c r="E129" s="3" t="str">
        <f t="shared" si="13"/>
        <v>2003-08</v>
      </c>
      <c r="F129" s="1">
        <v>-39.97</v>
      </c>
      <c r="G129" s="3">
        <f t="shared" si="12"/>
        <v>-485.09400000000005</v>
      </c>
      <c r="H129" s="3"/>
      <c r="I129" s="6">
        <v>37834</v>
      </c>
      <c r="J129" s="4">
        <f t="shared" si="14"/>
        <v>-485.09400000000005</v>
      </c>
      <c r="K129" s="4">
        <f>'TIC data'!AM332</f>
        <v>424.334</v>
      </c>
      <c r="L129" s="8">
        <f t="shared" si="15"/>
        <v>-60.760000000000048</v>
      </c>
      <c r="M129" s="4"/>
      <c r="N129" s="3"/>
      <c r="O129" s="3"/>
      <c r="P129" s="3"/>
    </row>
    <row r="130" spans="1:16" ht="13" x14ac:dyDescent="0.3">
      <c r="A130" t="s">
        <v>320</v>
      </c>
      <c r="B130" s="4">
        <v>89.9148</v>
      </c>
      <c r="C130" s="4">
        <f t="shared" si="9"/>
        <v>4.4988625552917147</v>
      </c>
      <c r="D130" s="3"/>
      <c r="E130" s="3" t="str">
        <f t="shared" ref="E130:E181" si="16">A130</f>
        <v>2003-09</v>
      </c>
      <c r="F130" s="1">
        <v>-41.792000000000002</v>
      </c>
      <c r="G130" s="3">
        <f t="shared" si="12"/>
        <v>-489.85500000000002</v>
      </c>
      <c r="H130" s="3"/>
      <c r="I130" s="6">
        <v>37865</v>
      </c>
      <c r="J130" s="4">
        <f t="shared" si="14"/>
        <v>-489.85500000000002</v>
      </c>
      <c r="K130" s="4">
        <f>'TIC data'!AM333</f>
        <v>417.0329999999999</v>
      </c>
      <c r="L130" s="8">
        <f t="shared" si="15"/>
        <v>-72.822000000000116</v>
      </c>
      <c r="M130" s="4"/>
      <c r="N130" s="3"/>
      <c r="O130" s="3"/>
      <c r="P130" s="3"/>
    </row>
    <row r="131" spans="1:16" ht="13" x14ac:dyDescent="0.3">
      <c r="A131" t="s">
        <v>321</v>
      </c>
      <c r="B131" s="4">
        <v>86.790400000000005</v>
      </c>
      <c r="C131" s="4">
        <f t="shared" ref="C131:C194" si="17">LN(B131)</f>
        <v>4.4634960164714341</v>
      </c>
      <c r="D131" s="3"/>
      <c r="E131" s="3" t="str">
        <f t="shared" si="16"/>
        <v>2003-10</v>
      </c>
      <c r="F131" s="1">
        <v>-41.356000000000002</v>
      </c>
      <c r="G131" s="3">
        <f t="shared" si="12"/>
        <v>-495.94200000000001</v>
      </c>
      <c r="H131" s="3"/>
      <c r="I131" s="6">
        <v>37895</v>
      </c>
      <c r="J131" s="4">
        <f t="shared" si="14"/>
        <v>-495.94200000000001</v>
      </c>
      <c r="K131" s="4">
        <f>'TIC data'!AM334</f>
        <v>389.23599999999988</v>
      </c>
      <c r="L131" s="8">
        <f t="shared" si="15"/>
        <v>-106.70600000000013</v>
      </c>
      <c r="M131" s="4"/>
      <c r="N131" s="3"/>
      <c r="O131" s="3"/>
      <c r="P131" s="3"/>
    </row>
    <row r="132" spans="1:16" ht="13" x14ac:dyDescent="0.3">
      <c r="A132" t="s">
        <v>322</v>
      </c>
      <c r="B132" s="4">
        <v>86.492999999999995</v>
      </c>
      <c r="C132" s="4">
        <f t="shared" si="17"/>
        <v>4.4600634858077495</v>
      </c>
      <c r="D132" s="3"/>
      <c r="E132" s="3" t="str">
        <f t="shared" si="16"/>
        <v>2003-11</v>
      </c>
      <c r="F132" s="1">
        <v>-39.956000000000003</v>
      </c>
      <c r="G132" s="3">
        <f t="shared" si="12"/>
        <v>-496.279</v>
      </c>
      <c r="H132" s="3"/>
      <c r="I132" s="6">
        <v>37926</v>
      </c>
      <c r="J132" s="4">
        <f t="shared" si="14"/>
        <v>-496.279</v>
      </c>
      <c r="K132" s="4">
        <f>'TIC data'!AM335</f>
        <v>377.04899999999992</v>
      </c>
      <c r="L132" s="8">
        <f t="shared" si="15"/>
        <v>-119.23000000000008</v>
      </c>
      <c r="M132" s="4"/>
      <c r="N132" s="3"/>
      <c r="O132" s="3"/>
      <c r="P132" s="3"/>
    </row>
    <row r="133" spans="1:16" ht="13" x14ac:dyDescent="0.3">
      <c r="A133" t="s">
        <v>323</v>
      </c>
      <c r="B133" s="4">
        <v>84.456800000000001</v>
      </c>
      <c r="C133" s="4">
        <f t="shared" si="17"/>
        <v>4.4362401610305202</v>
      </c>
      <c r="D133" s="3"/>
      <c r="E133" s="3" t="str">
        <f t="shared" si="16"/>
        <v>2003-12</v>
      </c>
      <c r="F133" s="1">
        <v>-43.914000000000001</v>
      </c>
      <c r="G133" s="3">
        <f t="shared" si="12"/>
        <v>-496.923</v>
      </c>
      <c r="H133" s="3"/>
      <c r="I133" s="6">
        <v>37956</v>
      </c>
      <c r="J133" s="4">
        <f t="shared" si="14"/>
        <v>-496.923</v>
      </c>
      <c r="K133" s="4">
        <f>'TIC data'!AM336</f>
        <v>399.73899999999998</v>
      </c>
      <c r="L133" s="8">
        <f t="shared" si="15"/>
        <v>-97.184000000000026</v>
      </c>
      <c r="M133" s="4"/>
      <c r="N133" s="3"/>
      <c r="O133" s="3"/>
      <c r="P133" s="3"/>
    </row>
    <row r="134" spans="1:16" ht="13" x14ac:dyDescent="0.3">
      <c r="A134" t="s">
        <v>324</v>
      </c>
      <c r="B134" s="4">
        <v>82.943600000000004</v>
      </c>
      <c r="C134" s="4">
        <f t="shared" si="17"/>
        <v>4.4181608587472621</v>
      </c>
      <c r="D134" s="3"/>
      <c r="E134" s="3" t="str">
        <f t="shared" si="16"/>
        <v>2004-01</v>
      </c>
      <c r="F134" s="1">
        <v>-44.957000000000001</v>
      </c>
      <c r="G134" s="3">
        <f t="shared" si="12"/>
        <v>-500.72799999999995</v>
      </c>
      <c r="H134" s="3"/>
      <c r="I134" s="6">
        <v>37987</v>
      </c>
      <c r="J134" s="4">
        <f t="shared" si="14"/>
        <v>-500.72799999999995</v>
      </c>
      <c r="K134" s="4">
        <f>'TIC data'!AM337</f>
        <v>391.43899999999991</v>
      </c>
      <c r="L134" s="8">
        <f t="shared" si="15"/>
        <v>-109.28900000000004</v>
      </c>
      <c r="M134" s="4"/>
      <c r="N134" s="3"/>
      <c r="O134" s="3"/>
      <c r="P134" s="3"/>
    </row>
    <row r="135" spans="1:16" ht="13" x14ac:dyDescent="0.3">
      <c r="A135" t="s">
        <v>325</v>
      </c>
      <c r="B135" s="4">
        <v>83.383700000000005</v>
      </c>
      <c r="C135" s="4">
        <f t="shared" si="17"/>
        <v>4.4234528466180194</v>
      </c>
      <c r="D135" s="3"/>
      <c r="E135" s="3" t="str">
        <f t="shared" si="16"/>
        <v>2004-02</v>
      </c>
      <c r="F135" s="1">
        <v>-44.411999999999999</v>
      </c>
      <c r="G135" s="3">
        <f t="shared" si="12"/>
        <v>-505.44799999999998</v>
      </c>
      <c r="H135" s="3"/>
      <c r="I135" s="6">
        <v>38018</v>
      </c>
      <c r="J135" s="4">
        <f t="shared" si="14"/>
        <v>-505.44799999999998</v>
      </c>
      <c r="K135" s="4">
        <f>'TIC data'!AM338</f>
        <v>391.85</v>
      </c>
      <c r="L135" s="8">
        <f t="shared" si="15"/>
        <v>-113.59799999999996</v>
      </c>
      <c r="M135" s="4"/>
      <c r="N135" s="3"/>
      <c r="O135" s="3"/>
      <c r="P135" s="3"/>
    </row>
    <row r="136" spans="1:16" ht="13" x14ac:dyDescent="0.3">
      <c r="A136" t="s">
        <v>326</v>
      </c>
      <c r="B136" s="4">
        <v>84.664100000000005</v>
      </c>
      <c r="C136" s="4">
        <f t="shared" si="17"/>
        <v>4.4386916629302897</v>
      </c>
      <c r="D136" s="3"/>
      <c r="E136" s="3" t="str">
        <f t="shared" si="16"/>
        <v>2004-03</v>
      </c>
      <c r="F136" s="1">
        <v>-46.67</v>
      </c>
      <c r="G136" s="3">
        <f t="shared" si="12"/>
        <v>-508.31099999999998</v>
      </c>
      <c r="H136" s="3"/>
      <c r="I136" s="6">
        <v>38047</v>
      </c>
      <c r="J136" s="4">
        <f t="shared" si="14"/>
        <v>-508.31099999999998</v>
      </c>
      <c r="K136" s="4">
        <f>'TIC data'!AM339</f>
        <v>371.428</v>
      </c>
      <c r="L136" s="8">
        <f t="shared" si="15"/>
        <v>-136.88299999999998</v>
      </c>
      <c r="M136" s="4"/>
      <c r="N136" s="3"/>
      <c r="O136" s="3"/>
      <c r="P136" s="3"/>
    </row>
    <row r="137" spans="1:16" ht="13" x14ac:dyDescent="0.3">
      <c r="A137" t="s">
        <v>327</v>
      </c>
      <c r="B137" s="4">
        <v>85.593299999999999</v>
      </c>
      <c r="C137" s="4">
        <f t="shared" si="17"/>
        <v>4.4496070090563222</v>
      </c>
      <c r="D137" s="3"/>
      <c r="E137" s="3" t="str">
        <f t="shared" si="16"/>
        <v>2004-04</v>
      </c>
      <c r="F137" s="1">
        <v>-47.472000000000001</v>
      </c>
      <c r="G137" s="3">
        <f t="shared" si="12"/>
        <v>-513.34799999999996</v>
      </c>
      <c r="H137" s="3"/>
      <c r="I137" s="6">
        <v>38078</v>
      </c>
      <c r="J137" s="4">
        <f t="shared" si="14"/>
        <v>-513.34799999999996</v>
      </c>
      <c r="K137" s="4">
        <f>'TIC data'!AM340</f>
        <v>362.9849999999999</v>
      </c>
      <c r="L137" s="8">
        <f t="shared" si="15"/>
        <v>-150.36300000000006</v>
      </c>
      <c r="M137" s="4"/>
      <c r="N137" s="3"/>
      <c r="O137" s="3"/>
      <c r="P137" s="3"/>
    </row>
    <row r="138" spans="1:16" ht="13" x14ac:dyDescent="0.3">
      <c r="A138" t="s">
        <v>328</v>
      </c>
      <c r="B138" s="4">
        <v>86.903099999999995</v>
      </c>
      <c r="C138" s="4">
        <f t="shared" si="17"/>
        <v>4.4647937048226449</v>
      </c>
      <c r="D138" s="3"/>
      <c r="E138" s="3" t="str">
        <f t="shared" si="16"/>
        <v>2004-05</v>
      </c>
      <c r="F138" s="1">
        <v>-48.311999999999998</v>
      </c>
      <c r="G138" s="3">
        <f t="shared" si="12"/>
        <v>-520.53699999999992</v>
      </c>
      <c r="H138" s="3"/>
      <c r="I138" s="6">
        <v>38108</v>
      </c>
      <c r="J138" s="4">
        <f t="shared" si="14"/>
        <v>-520.53699999999992</v>
      </c>
      <c r="K138" s="4">
        <f>'TIC data'!AM341</f>
        <v>338.24599999999992</v>
      </c>
      <c r="L138" s="8">
        <f t="shared" si="15"/>
        <v>-182.291</v>
      </c>
      <c r="M138" s="4"/>
      <c r="N138" s="3"/>
      <c r="O138" s="3"/>
      <c r="P138" s="3"/>
    </row>
    <row r="139" spans="1:16" ht="13" x14ac:dyDescent="0.3">
      <c r="A139" t="s">
        <v>329</v>
      </c>
      <c r="B139" s="4">
        <v>85.609700000000004</v>
      </c>
      <c r="C139" s="4">
        <f t="shared" si="17"/>
        <v>4.4497985944847338</v>
      </c>
      <c r="D139" s="3"/>
      <c r="E139" s="3" t="str">
        <f t="shared" si="16"/>
        <v>2004-06</v>
      </c>
      <c r="F139" s="1">
        <v>-54.817999999999998</v>
      </c>
      <c r="G139" s="3">
        <f t="shared" si="12"/>
        <v>-535.221</v>
      </c>
      <c r="H139" s="3"/>
      <c r="I139" s="6">
        <v>38139</v>
      </c>
      <c r="J139" s="4">
        <f t="shared" si="14"/>
        <v>-535.221</v>
      </c>
      <c r="K139" s="4">
        <f>'TIC data'!AM342</f>
        <v>347.48700000000002</v>
      </c>
      <c r="L139" s="8">
        <f t="shared" si="15"/>
        <v>-187.73399999999998</v>
      </c>
      <c r="M139" s="4"/>
      <c r="N139" s="3"/>
      <c r="O139" s="3"/>
      <c r="P139" s="3"/>
    </row>
    <row r="140" spans="1:16" ht="13" x14ac:dyDescent="0.3">
      <c r="A140" t="s">
        <v>330</v>
      </c>
      <c r="B140" s="4">
        <v>84.578999999999994</v>
      </c>
      <c r="C140" s="4">
        <f t="shared" si="17"/>
        <v>4.4376860088484138</v>
      </c>
      <c r="D140" s="3"/>
      <c r="E140" s="3" t="str">
        <f t="shared" si="16"/>
        <v>2004-07</v>
      </c>
      <c r="F140" s="1">
        <v>-51.575000000000003</v>
      </c>
      <c r="G140" s="3">
        <f t="shared" si="12"/>
        <v>-545.20399999999995</v>
      </c>
      <c r="H140" s="3"/>
      <c r="I140" s="6">
        <v>38169</v>
      </c>
      <c r="J140" s="4">
        <f t="shared" si="14"/>
        <v>-545.20399999999995</v>
      </c>
      <c r="K140" s="4">
        <f>'TIC data'!AM343</f>
        <v>352.1040000000001</v>
      </c>
      <c r="L140" s="8">
        <f t="shared" si="15"/>
        <v>-193.09999999999985</v>
      </c>
      <c r="M140" s="4"/>
      <c r="N140" s="3"/>
      <c r="O140" s="3"/>
      <c r="P140" s="3"/>
    </row>
    <row r="141" spans="1:16" ht="13" x14ac:dyDescent="0.3">
      <c r="A141" t="s">
        <v>331</v>
      </c>
      <c r="B141" s="4">
        <v>84.798100000000005</v>
      </c>
      <c r="C141" s="4">
        <f t="shared" si="17"/>
        <v>4.4402731368864696</v>
      </c>
      <c r="D141" s="3"/>
      <c r="E141" s="3" t="str">
        <f t="shared" si="16"/>
        <v>2004-08</v>
      </c>
      <c r="F141" s="1">
        <v>-53.389000000000003</v>
      </c>
      <c r="G141" s="3">
        <f t="shared" si="12"/>
        <v>-558.62299999999993</v>
      </c>
      <c r="H141" s="3"/>
      <c r="I141" s="6">
        <v>38200</v>
      </c>
      <c r="J141" s="4">
        <f t="shared" si="14"/>
        <v>-558.62299999999993</v>
      </c>
      <c r="K141" s="4">
        <f>'TIC data'!AM344</f>
        <v>358.33000000000004</v>
      </c>
      <c r="L141" s="8">
        <f t="shared" si="15"/>
        <v>-200.29299999999989</v>
      </c>
      <c r="M141" s="4"/>
      <c r="N141" s="3"/>
      <c r="O141" s="3"/>
      <c r="P141" s="3"/>
    </row>
    <row r="142" spans="1:16" ht="13" x14ac:dyDescent="0.3">
      <c r="A142" t="s">
        <v>332</v>
      </c>
      <c r="B142" s="4">
        <v>84.348200000000006</v>
      </c>
      <c r="C142" s="4">
        <f t="shared" si="17"/>
        <v>4.4349534691080894</v>
      </c>
      <c r="D142" s="3"/>
      <c r="E142" s="3" t="str">
        <f t="shared" si="16"/>
        <v>2004-09</v>
      </c>
      <c r="F142" s="1">
        <v>-51.642000000000003</v>
      </c>
      <c r="G142" s="3">
        <f t="shared" si="12"/>
        <v>-568.47300000000007</v>
      </c>
      <c r="H142" s="3"/>
      <c r="I142" s="6">
        <v>38231</v>
      </c>
      <c r="J142" s="4">
        <f t="shared" si="14"/>
        <v>-568.47300000000007</v>
      </c>
      <c r="K142" s="4">
        <f>'TIC data'!AM345</f>
        <v>365.5680000000001</v>
      </c>
      <c r="L142" s="8">
        <f t="shared" si="15"/>
        <v>-202.90499999999997</v>
      </c>
      <c r="M142" s="4"/>
      <c r="N142" s="3"/>
      <c r="O142" s="3"/>
      <c r="P142" s="3"/>
    </row>
    <row r="143" spans="1:16" ht="13" x14ac:dyDescent="0.3">
      <c r="A143" t="s">
        <v>333</v>
      </c>
      <c r="B143" s="4">
        <v>82.654700000000005</v>
      </c>
      <c r="C143" s="4">
        <f t="shared" si="17"/>
        <v>4.4146716889538968</v>
      </c>
      <c r="D143" s="3"/>
      <c r="E143" s="3" t="str">
        <f t="shared" si="16"/>
        <v>2004-10</v>
      </c>
      <c r="F143" s="1">
        <v>-55.226999999999997</v>
      </c>
      <c r="G143" s="3">
        <f t="shared" si="12"/>
        <v>-582.34399999999994</v>
      </c>
      <c r="H143" s="3"/>
      <c r="I143" s="6">
        <v>38261</v>
      </c>
      <c r="J143" s="4">
        <f t="shared" si="14"/>
        <v>-582.34399999999994</v>
      </c>
      <c r="K143" s="4">
        <f>'TIC data'!AM346</f>
        <v>385.85200000000015</v>
      </c>
      <c r="L143" s="8">
        <f t="shared" si="15"/>
        <v>-196.49199999999979</v>
      </c>
      <c r="M143" s="4"/>
      <c r="N143" s="3"/>
      <c r="O143" s="3"/>
      <c r="P143" s="3"/>
    </row>
    <row r="144" spans="1:16" ht="13" x14ac:dyDescent="0.3">
      <c r="A144" t="s">
        <v>334</v>
      </c>
      <c r="B144" s="4">
        <v>79.6935</v>
      </c>
      <c r="C144" s="4">
        <f t="shared" si="17"/>
        <v>4.3781880266359323</v>
      </c>
      <c r="D144" s="3"/>
      <c r="E144" s="3" t="str">
        <f t="shared" si="16"/>
        <v>2004-11</v>
      </c>
      <c r="F144" s="1">
        <v>-58.965000000000003</v>
      </c>
      <c r="G144" s="3">
        <f t="shared" si="12"/>
        <v>-601.35300000000007</v>
      </c>
      <c r="H144" s="3"/>
      <c r="I144" s="6">
        <v>38292</v>
      </c>
      <c r="J144" s="4">
        <f t="shared" si="14"/>
        <v>-601.35300000000007</v>
      </c>
      <c r="K144" s="4">
        <f>'TIC data'!AM347</f>
        <v>405.67100000000005</v>
      </c>
      <c r="L144" s="8">
        <f t="shared" si="15"/>
        <v>-195.68200000000002</v>
      </c>
      <c r="M144" s="4"/>
      <c r="N144" s="3"/>
      <c r="O144" s="3"/>
      <c r="P144" s="3"/>
    </row>
    <row r="145" spans="1:16" ht="13" x14ac:dyDescent="0.3">
      <c r="A145" t="s">
        <v>335</v>
      </c>
      <c r="B145" s="4">
        <v>78.888599999999997</v>
      </c>
      <c r="C145" s="4">
        <f t="shared" si="17"/>
        <v>4.3680367307206058</v>
      </c>
      <c r="D145" s="3"/>
      <c r="E145" s="3" t="str">
        <f t="shared" si="16"/>
        <v>2004-12</v>
      </c>
      <c r="F145" s="1">
        <v>-54.66</v>
      </c>
      <c r="G145" s="3">
        <f t="shared" si="12"/>
        <v>-612.09899999999993</v>
      </c>
      <c r="H145" s="3"/>
      <c r="I145" s="6">
        <v>38322</v>
      </c>
      <c r="J145" s="4">
        <f t="shared" si="14"/>
        <v>-612.09899999999993</v>
      </c>
      <c r="K145" s="4">
        <f>'TIC data'!AM348</f>
        <v>411.53500000000025</v>
      </c>
      <c r="L145" s="8">
        <f t="shared" si="15"/>
        <v>-200.56399999999968</v>
      </c>
      <c r="M145" s="4"/>
      <c r="N145" s="3"/>
      <c r="O145" s="3"/>
      <c r="P145" s="3"/>
    </row>
    <row r="146" spans="1:16" ht="13" x14ac:dyDescent="0.3">
      <c r="A146" t="s">
        <v>336</v>
      </c>
      <c r="B146" s="4">
        <v>79.764700000000005</v>
      </c>
      <c r="C146" s="4">
        <f t="shared" si="17"/>
        <v>4.3790810506978097</v>
      </c>
      <c r="D146" s="3"/>
      <c r="E146" s="3" t="str">
        <f t="shared" si="16"/>
        <v>2005-01</v>
      </c>
      <c r="F146" s="1">
        <v>-55.627000000000002</v>
      </c>
      <c r="G146" s="3">
        <f t="shared" si="12"/>
        <v>-622.76899999999989</v>
      </c>
      <c r="H146" s="3"/>
      <c r="I146" s="6">
        <v>38353</v>
      </c>
      <c r="J146" s="4">
        <f t="shared" ref="J146:J152" si="18">G146</f>
        <v>-622.76899999999989</v>
      </c>
      <c r="K146" s="4">
        <f>'TIC data'!AM349</f>
        <v>425.8830000000001</v>
      </c>
      <c r="L146" s="8">
        <f t="shared" ref="L146:L152" si="19">G146+K146</f>
        <v>-196.8859999999998</v>
      </c>
      <c r="M146" s="4"/>
      <c r="N146" s="3"/>
      <c r="O146" s="3"/>
      <c r="P146" s="3"/>
    </row>
    <row r="147" spans="1:16" ht="13" x14ac:dyDescent="0.3">
      <c r="A147" t="s">
        <v>337</v>
      </c>
      <c r="B147" s="4">
        <v>80.455699999999993</v>
      </c>
      <c r="C147" s="4">
        <f t="shared" si="17"/>
        <v>4.3877067223890807</v>
      </c>
      <c r="D147" s="3"/>
      <c r="E147" s="3" t="str">
        <f t="shared" si="16"/>
        <v>2005-02</v>
      </c>
      <c r="F147" s="1">
        <v>-57.506</v>
      </c>
      <c r="G147" s="3">
        <f t="shared" ref="G147:G210" si="20">SUM(F136:F147)</f>
        <v>-635.86299999999983</v>
      </c>
      <c r="I147" s="6">
        <v>38384</v>
      </c>
      <c r="J147" s="4">
        <f t="shared" si="18"/>
        <v>-635.86299999999983</v>
      </c>
      <c r="K147" s="4">
        <f>'TIC data'!AM350</f>
        <v>428.9609999999999</v>
      </c>
      <c r="L147" s="8">
        <f t="shared" si="19"/>
        <v>-206.90199999999993</v>
      </c>
      <c r="M147" s="4"/>
    </row>
    <row r="148" spans="1:16" ht="13" x14ac:dyDescent="0.3">
      <c r="A148" t="s">
        <v>338</v>
      </c>
      <c r="B148" s="4">
        <v>79.631600000000006</v>
      </c>
      <c r="C148" s="4">
        <f t="shared" si="17"/>
        <v>4.377410998997294</v>
      </c>
      <c r="D148" s="3"/>
      <c r="E148" s="3" t="str">
        <f t="shared" si="16"/>
        <v>2005-03</v>
      </c>
      <c r="F148" s="1">
        <v>-53.509</v>
      </c>
      <c r="G148" s="3">
        <f t="shared" si="20"/>
        <v>-642.70199999999988</v>
      </c>
      <c r="I148" s="6">
        <v>38412</v>
      </c>
      <c r="J148" s="4">
        <f t="shared" si="18"/>
        <v>-642.70199999999988</v>
      </c>
      <c r="K148" s="4">
        <f>'TIC data'!AM351</f>
        <v>419.34299999999985</v>
      </c>
      <c r="L148" s="8">
        <f t="shared" si="19"/>
        <v>-223.35900000000004</v>
      </c>
      <c r="M148" s="4"/>
    </row>
    <row r="149" spans="1:16" ht="13" x14ac:dyDescent="0.3">
      <c r="A149" t="s">
        <v>339</v>
      </c>
      <c r="B149" s="4">
        <v>80.863</v>
      </c>
      <c r="C149" s="4">
        <f t="shared" si="17"/>
        <v>4.392756364686897</v>
      </c>
      <c r="D149" s="3"/>
      <c r="E149" s="3" t="str">
        <f t="shared" si="16"/>
        <v>2005-04</v>
      </c>
      <c r="F149" s="1">
        <v>-56.259</v>
      </c>
      <c r="G149" s="3">
        <f t="shared" si="20"/>
        <v>-651.48900000000003</v>
      </c>
      <c r="I149" s="6">
        <v>38443</v>
      </c>
      <c r="J149" s="4">
        <f t="shared" si="18"/>
        <v>-651.48900000000003</v>
      </c>
      <c r="K149" s="4">
        <f>'TIC data'!AM352</f>
        <v>397.81599999999997</v>
      </c>
      <c r="L149" s="8">
        <f t="shared" si="19"/>
        <v>-253.67300000000006</v>
      </c>
      <c r="M149" s="4"/>
    </row>
    <row r="150" spans="1:16" ht="13" x14ac:dyDescent="0.3">
      <c r="A150" t="s">
        <v>340</v>
      </c>
      <c r="B150" s="4">
        <v>81.891499999999994</v>
      </c>
      <c r="C150" s="4">
        <f t="shared" si="17"/>
        <v>4.4053952003691919</v>
      </c>
      <c r="D150" s="3"/>
      <c r="E150" s="3" t="str">
        <f t="shared" si="16"/>
        <v>2005-05</v>
      </c>
      <c r="F150" s="1">
        <v>-56.32</v>
      </c>
      <c r="G150" s="3">
        <f t="shared" si="20"/>
        <v>-659.49700000000007</v>
      </c>
      <c r="I150" s="6">
        <v>38473</v>
      </c>
      <c r="J150" s="4">
        <f t="shared" si="18"/>
        <v>-659.49700000000007</v>
      </c>
      <c r="K150" s="4">
        <f>'TIC data'!AM353</f>
        <v>396.58200000000005</v>
      </c>
      <c r="L150" s="8">
        <f t="shared" si="19"/>
        <v>-262.91500000000002</v>
      </c>
      <c r="M150" s="4"/>
    </row>
    <row r="151" spans="1:16" ht="13" x14ac:dyDescent="0.3">
      <c r="A151" t="s">
        <v>341</v>
      </c>
      <c r="B151" s="4">
        <v>83.272300000000001</v>
      </c>
      <c r="C151" s="4">
        <f t="shared" si="17"/>
        <v>4.4221159608582292</v>
      </c>
      <c r="D151" s="3"/>
      <c r="E151" s="3" t="str">
        <f t="shared" si="16"/>
        <v>2005-06</v>
      </c>
      <c r="F151" s="1">
        <v>-58.091999999999999</v>
      </c>
      <c r="G151" s="3">
        <f t="shared" si="20"/>
        <v>-662.77100000000007</v>
      </c>
      <c r="I151" s="6">
        <v>38504</v>
      </c>
      <c r="J151" s="4">
        <f t="shared" si="18"/>
        <v>-662.77100000000007</v>
      </c>
      <c r="K151" s="4">
        <f>'TIC data'!AM354</f>
        <v>416.25900000000001</v>
      </c>
      <c r="L151" s="8">
        <f t="shared" si="19"/>
        <v>-246.51200000000006</v>
      </c>
      <c r="M151" s="4"/>
    </row>
    <row r="152" spans="1:16" ht="13" x14ac:dyDescent="0.3">
      <c r="A152" t="s">
        <v>342</v>
      </c>
      <c r="B152" s="4">
        <v>83.975899999999996</v>
      </c>
      <c r="C152" s="4">
        <f t="shared" si="17"/>
        <v>4.4305298529163641</v>
      </c>
      <c r="D152" s="3"/>
      <c r="E152" s="3" t="str">
        <f t="shared" si="16"/>
        <v>2005-07</v>
      </c>
      <c r="F152" s="1">
        <v>-57.877000000000002</v>
      </c>
      <c r="G152" s="3">
        <f t="shared" si="20"/>
        <v>-669.07300000000009</v>
      </c>
      <c r="I152" s="6">
        <v>38534</v>
      </c>
      <c r="J152" s="4">
        <f t="shared" si="18"/>
        <v>-669.07300000000009</v>
      </c>
      <c r="K152" s="4">
        <f>'TIC data'!AM355</f>
        <v>428.05099999999993</v>
      </c>
      <c r="L152" s="8">
        <f t="shared" si="19"/>
        <v>-241.02200000000016</v>
      </c>
      <c r="M152" s="4"/>
    </row>
    <row r="153" spans="1:16" ht="13" x14ac:dyDescent="0.3">
      <c r="A153" t="s">
        <v>421</v>
      </c>
      <c r="B153" s="4">
        <v>82.583600000000004</v>
      </c>
      <c r="C153" s="4">
        <f t="shared" si="17"/>
        <v>4.413811113598328</v>
      </c>
      <c r="D153" s="3"/>
      <c r="E153" s="3" t="str">
        <f t="shared" si="16"/>
        <v>2005-08</v>
      </c>
      <c r="F153" s="1">
        <v>-58.024000000000001</v>
      </c>
      <c r="G153" s="3">
        <f t="shared" si="20"/>
        <v>-673.70799999999997</v>
      </c>
      <c r="I153" s="6">
        <v>38565</v>
      </c>
      <c r="J153" s="4">
        <f t="shared" ref="J153:J181" si="21">G153</f>
        <v>-673.70799999999997</v>
      </c>
      <c r="K153" s="4">
        <f>'TIC data'!AM356</f>
        <v>450.53599999999994</v>
      </c>
      <c r="L153" s="8">
        <f t="shared" ref="L153:L181" si="22">G153+K153</f>
        <v>-223.17200000000003</v>
      </c>
      <c r="M153" s="4"/>
    </row>
    <row r="154" spans="1:16" ht="13" x14ac:dyDescent="0.3">
      <c r="A154" t="s">
        <v>422</v>
      </c>
      <c r="B154" s="4">
        <v>82.178600000000003</v>
      </c>
      <c r="C154" s="4">
        <f t="shared" si="17"/>
        <v>4.4088949275350258</v>
      </c>
      <c r="D154" s="3"/>
      <c r="E154" s="3" t="str">
        <f t="shared" si="16"/>
        <v>2005-09</v>
      </c>
      <c r="F154" s="1">
        <v>-65.052999999999997</v>
      </c>
      <c r="G154" s="3">
        <f t="shared" si="20"/>
        <v>-687.11900000000003</v>
      </c>
      <c r="I154" s="6">
        <v>38596</v>
      </c>
      <c r="J154" s="4">
        <f t="shared" si="21"/>
        <v>-687.11900000000003</v>
      </c>
      <c r="K154" s="4">
        <f>'TIC data'!AM357</f>
        <v>492.41</v>
      </c>
      <c r="L154" s="8">
        <f t="shared" si="22"/>
        <v>-194.709</v>
      </c>
      <c r="M154" s="4"/>
    </row>
    <row r="155" spans="1:16" ht="13" x14ac:dyDescent="0.3">
      <c r="A155" t="s">
        <v>423</v>
      </c>
      <c r="B155" s="4">
        <v>83.391000000000005</v>
      </c>
      <c r="C155" s="4">
        <f t="shared" si="17"/>
        <v>4.4235403898725378</v>
      </c>
      <c r="D155" s="3"/>
      <c r="E155" s="3" t="str">
        <f t="shared" si="16"/>
        <v>2005-10</v>
      </c>
      <c r="F155" s="1">
        <v>-67.078000000000003</v>
      </c>
      <c r="G155" s="3">
        <f t="shared" si="20"/>
        <v>-698.96999999999991</v>
      </c>
      <c r="I155" s="6">
        <v>38626</v>
      </c>
      <c r="J155" s="4">
        <f t="shared" si="21"/>
        <v>-698.96999999999991</v>
      </c>
      <c r="K155" s="4">
        <f>'TIC data'!AM358</f>
        <v>537.38200000000006</v>
      </c>
      <c r="L155" s="8">
        <f t="shared" si="22"/>
        <v>-161.58799999999985</v>
      </c>
      <c r="M155" s="4"/>
    </row>
    <row r="156" spans="1:16" ht="13" x14ac:dyDescent="0.3">
      <c r="A156" t="s">
        <v>424</v>
      </c>
      <c r="B156" s="4">
        <v>84.668499999999995</v>
      </c>
      <c r="C156" s="4">
        <f t="shared" si="17"/>
        <v>4.4387436316592996</v>
      </c>
      <c r="D156" s="3"/>
      <c r="E156" s="3" t="str">
        <f t="shared" si="16"/>
        <v>2005-11</v>
      </c>
      <c r="F156" s="1">
        <v>-64.683000000000007</v>
      </c>
      <c r="G156" s="3">
        <f t="shared" si="20"/>
        <v>-704.68799999999999</v>
      </c>
      <c r="I156" s="6">
        <v>38657</v>
      </c>
      <c r="J156" s="4">
        <f t="shared" si="21"/>
        <v>-704.68799999999999</v>
      </c>
      <c r="K156" s="4">
        <f>'TIC data'!AM359</f>
        <v>518.79700000000014</v>
      </c>
      <c r="L156" s="8">
        <f t="shared" si="22"/>
        <v>-185.89099999999985</v>
      </c>
      <c r="M156" s="4"/>
    </row>
    <row r="157" spans="1:16" ht="13" x14ac:dyDescent="0.3">
      <c r="A157" t="s">
        <v>425</v>
      </c>
      <c r="B157" s="4">
        <v>83.996799999999993</v>
      </c>
      <c r="C157" s="4">
        <f t="shared" si="17"/>
        <v>4.430778702879576</v>
      </c>
      <c r="D157" s="3"/>
      <c r="E157" s="3" t="str">
        <f t="shared" si="16"/>
        <v>2005-12</v>
      </c>
      <c r="F157" s="1">
        <v>-64.346999999999994</v>
      </c>
      <c r="G157" s="3">
        <f t="shared" si="20"/>
        <v>-714.375</v>
      </c>
      <c r="I157" s="6">
        <v>38687</v>
      </c>
      <c r="J157" s="4">
        <f t="shared" si="21"/>
        <v>-714.375</v>
      </c>
      <c r="K157" s="4">
        <f>'TIC data'!AM360</f>
        <v>501.03700000000009</v>
      </c>
      <c r="L157" s="8">
        <f t="shared" si="22"/>
        <v>-213.33799999999991</v>
      </c>
      <c r="M157" s="4"/>
    </row>
    <row r="158" spans="1:16" ht="13" x14ac:dyDescent="0.3">
      <c r="A158" t="s">
        <v>426</v>
      </c>
      <c r="B158" s="4">
        <v>82.801299999999998</v>
      </c>
      <c r="C158" s="4">
        <f t="shared" si="17"/>
        <v>4.4164437617510544</v>
      </c>
      <c r="D158" s="3"/>
      <c r="E158" s="3" t="str">
        <f t="shared" si="16"/>
        <v>2006-01</v>
      </c>
      <c r="F158" s="1">
        <v>-65.158000000000001</v>
      </c>
      <c r="G158" s="3">
        <f t="shared" si="20"/>
        <v>-723.90599999999995</v>
      </c>
      <c r="I158" s="6">
        <v>38718</v>
      </c>
      <c r="J158" s="4">
        <f t="shared" si="21"/>
        <v>-723.90599999999995</v>
      </c>
      <c r="K158" s="4">
        <f>'TIC data'!AM361</f>
        <v>521.4380000000001</v>
      </c>
      <c r="L158" s="8">
        <f t="shared" si="22"/>
        <v>-202.46799999999985</v>
      </c>
      <c r="M158" s="4"/>
    </row>
    <row r="159" spans="1:16" ht="13" x14ac:dyDescent="0.3">
      <c r="A159" t="s">
        <v>427</v>
      </c>
      <c r="B159" s="4">
        <v>83.471199999999996</v>
      </c>
      <c r="C159" s="4">
        <f t="shared" si="17"/>
        <v>4.4245016621819726</v>
      </c>
      <c r="D159" s="3"/>
      <c r="E159" s="3" t="str">
        <f t="shared" si="16"/>
        <v>2006-02</v>
      </c>
      <c r="F159" s="1">
        <v>-62.377000000000002</v>
      </c>
      <c r="G159" s="3">
        <f t="shared" si="20"/>
        <v>-728.77699999999993</v>
      </c>
      <c r="I159" s="6">
        <v>38749</v>
      </c>
      <c r="J159" s="4">
        <f t="shared" si="21"/>
        <v>-728.77699999999993</v>
      </c>
      <c r="K159" s="4">
        <f>'TIC data'!AM362</f>
        <v>564.1110000000001</v>
      </c>
      <c r="L159" s="8">
        <f t="shared" si="22"/>
        <v>-164.66599999999983</v>
      </c>
      <c r="M159" s="4"/>
    </row>
    <row r="160" spans="1:16" ht="13" x14ac:dyDescent="0.3">
      <c r="A160" t="s">
        <v>428</v>
      </c>
      <c r="B160" s="4">
        <v>83.372100000000003</v>
      </c>
      <c r="C160" s="4">
        <f t="shared" si="17"/>
        <v>4.4233137210221631</v>
      </c>
      <c r="D160" s="3"/>
      <c r="E160" s="3" t="str">
        <f t="shared" si="16"/>
        <v>2006-03</v>
      </c>
      <c r="F160" s="1">
        <v>-62.177999999999997</v>
      </c>
      <c r="G160" s="3">
        <f t="shared" si="20"/>
        <v>-737.44599999999991</v>
      </c>
      <c r="I160" s="6">
        <v>38777</v>
      </c>
      <c r="J160" s="4">
        <f t="shared" si="21"/>
        <v>-737.44599999999991</v>
      </c>
      <c r="K160" s="4">
        <f>'TIC data'!AM363</f>
        <v>621.17699999999991</v>
      </c>
      <c r="L160" s="8">
        <f t="shared" si="22"/>
        <v>-116.26900000000001</v>
      </c>
      <c r="M160" s="4"/>
    </row>
    <row r="161" spans="1:13" ht="13" x14ac:dyDescent="0.3">
      <c r="A161" t="s">
        <v>429</v>
      </c>
      <c r="B161" s="4">
        <v>82.357900000000001</v>
      </c>
      <c r="C161" s="4">
        <f t="shared" si="17"/>
        <v>4.4110743840200408</v>
      </c>
      <c r="D161" s="3"/>
      <c r="E161" s="3" t="str">
        <f t="shared" si="16"/>
        <v>2006-04</v>
      </c>
      <c r="F161" s="1">
        <v>-62.335999999999999</v>
      </c>
      <c r="G161" s="3">
        <f t="shared" si="20"/>
        <v>-743.52299999999991</v>
      </c>
      <c r="I161" s="6">
        <v>38808</v>
      </c>
      <c r="J161" s="4">
        <f t="shared" si="21"/>
        <v>-743.52299999999991</v>
      </c>
      <c r="K161" s="4">
        <f>'TIC data'!AM364</f>
        <v>653.46600000000001</v>
      </c>
      <c r="L161" s="8">
        <f t="shared" si="22"/>
        <v>-90.056999999999903</v>
      </c>
      <c r="M161" s="4"/>
    </row>
    <row r="162" spans="1:13" ht="13" x14ac:dyDescent="0.3">
      <c r="A162" t="s">
        <v>430</v>
      </c>
      <c r="B162" s="4">
        <v>79.401899999999998</v>
      </c>
      <c r="C162" s="4">
        <f t="shared" si="17"/>
        <v>4.3745222974378173</v>
      </c>
      <c r="D162" s="3"/>
      <c r="E162" s="3" t="str">
        <f t="shared" si="16"/>
        <v>2006-05</v>
      </c>
      <c r="F162" s="1">
        <v>-65.713999999999999</v>
      </c>
      <c r="G162" s="3">
        <f t="shared" si="20"/>
        <v>-752.91699999999992</v>
      </c>
      <c r="I162" s="6">
        <v>38838</v>
      </c>
      <c r="J162" s="4">
        <f t="shared" si="21"/>
        <v>-752.91699999999992</v>
      </c>
      <c r="K162" s="4">
        <f>'TIC data'!AM365</f>
        <v>693.82799999999997</v>
      </c>
      <c r="L162" s="8">
        <f t="shared" si="22"/>
        <v>-59.088999999999942</v>
      </c>
      <c r="M162" s="4"/>
    </row>
    <row r="163" spans="1:13" ht="13" x14ac:dyDescent="0.3">
      <c r="A163" t="s">
        <v>431</v>
      </c>
      <c r="B163" s="4">
        <v>80.183499999999995</v>
      </c>
      <c r="C163" s="4">
        <f t="shared" si="17"/>
        <v>4.3843177580451362</v>
      </c>
      <c r="D163" s="3"/>
      <c r="E163" s="3" t="str">
        <f t="shared" si="16"/>
        <v>2006-06</v>
      </c>
      <c r="F163" s="1">
        <v>-64.527000000000001</v>
      </c>
      <c r="G163" s="3">
        <f t="shared" si="20"/>
        <v>-759.35200000000009</v>
      </c>
      <c r="I163" s="6">
        <v>38869</v>
      </c>
      <c r="J163" s="4">
        <f t="shared" si="21"/>
        <v>-759.35200000000009</v>
      </c>
      <c r="K163" s="4">
        <f>'TIC data'!AM366</f>
        <v>693.30500000000006</v>
      </c>
      <c r="L163" s="8">
        <f t="shared" si="22"/>
        <v>-66.047000000000025</v>
      </c>
      <c r="M163" s="4"/>
    </row>
    <row r="164" spans="1:13" ht="13" x14ac:dyDescent="0.3">
      <c r="A164" t="s">
        <v>432</v>
      </c>
      <c r="B164" s="4">
        <v>80.588099999999997</v>
      </c>
      <c r="C164" s="4">
        <f t="shared" si="17"/>
        <v>4.3893509959324284</v>
      </c>
      <c r="D164" s="3"/>
      <c r="E164" s="3" t="str">
        <f t="shared" si="16"/>
        <v>2006-07</v>
      </c>
      <c r="F164" s="1">
        <v>-67.554000000000002</v>
      </c>
      <c r="G164" s="3">
        <f t="shared" si="20"/>
        <v>-769.02900000000011</v>
      </c>
      <c r="I164" s="6">
        <v>38899</v>
      </c>
      <c r="J164" s="4">
        <f t="shared" si="21"/>
        <v>-769.02900000000011</v>
      </c>
      <c r="K164" s="4">
        <f>'TIC data'!AM367</f>
        <v>678.46399999999971</v>
      </c>
      <c r="L164" s="8">
        <f t="shared" si="22"/>
        <v>-90.565000000000396</v>
      </c>
      <c r="M164" s="4"/>
    </row>
    <row r="165" spans="1:13" ht="13" x14ac:dyDescent="0.3">
      <c r="A165" t="s">
        <v>433</v>
      </c>
      <c r="B165" s="4">
        <v>79.966999999999999</v>
      </c>
      <c r="C165" s="4">
        <f t="shared" si="17"/>
        <v>4.3816140495723532</v>
      </c>
      <c r="D165" s="3"/>
      <c r="E165" s="3" t="str">
        <f t="shared" si="16"/>
        <v>2006-08</v>
      </c>
      <c r="F165" s="1">
        <v>-67.605999999999995</v>
      </c>
      <c r="G165" s="3">
        <f t="shared" si="20"/>
        <v>-778.61099999999999</v>
      </c>
      <c r="I165" s="6">
        <v>38930</v>
      </c>
      <c r="J165" s="4">
        <f t="shared" si="21"/>
        <v>-778.61099999999999</v>
      </c>
      <c r="K165" s="4">
        <f>'TIC data'!AM368</f>
        <v>706.77099999999973</v>
      </c>
      <c r="L165" s="8">
        <f t="shared" si="22"/>
        <v>-71.840000000000259</v>
      </c>
      <c r="M165" s="4"/>
    </row>
    <row r="166" spans="1:13" ht="13" x14ac:dyDescent="0.3">
      <c r="A166" t="s">
        <v>434</v>
      </c>
      <c r="B166" s="4">
        <v>80.270300000000006</v>
      </c>
      <c r="C166" s="4">
        <f t="shared" si="17"/>
        <v>4.3853996895228224</v>
      </c>
      <c r="D166" s="3"/>
      <c r="E166" s="3" t="str">
        <f t="shared" si="16"/>
        <v>2006-09</v>
      </c>
      <c r="F166" s="1">
        <v>-64.149000000000001</v>
      </c>
      <c r="G166" s="3">
        <f t="shared" si="20"/>
        <v>-777.70700000000011</v>
      </c>
      <c r="I166" s="6">
        <v>38961</v>
      </c>
      <c r="J166" s="4">
        <f t="shared" si="21"/>
        <v>-777.70700000000011</v>
      </c>
      <c r="K166" s="4">
        <f>'TIC data'!AM369</f>
        <v>724.07499999999982</v>
      </c>
      <c r="L166" s="8">
        <f t="shared" si="22"/>
        <v>-53.632000000000289</v>
      </c>
      <c r="M166" s="4"/>
    </row>
    <row r="167" spans="1:13" ht="13" x14ac:dyDescent="0.3">
      <c r="A167" t="s">
        <v>435</v>
      </c>
      <c r="B167" s="4">
        <v>81.005300000000005</v>
      </c>
      <c r="C167" s="4">
        <f t="shared" si="17"/>
        <v>4.3945145846306177</v>
      </c>
      <c r="D167" s="3"/>
      <c r="E167" s="3" t="str">
        <f t="shared" si="16"/>
        <v>2006-10</v>
      </c>
      <c r="F167" s="1">
        <v>-58.164999999999999</v>
      </c>
      <c r="G167" s="3">
        <f t="shared" si="20"/>
        <v>-768.79399999999998</v>
      </c>
      <c r="I167" s="6">
        <v>38991</v>
      </c>
      <c r="J167" s="4">
        <f t="shared" si="21"/>
        <v>-768.79399999999998</v>
      </c>
      <c r="K167" s="4">
        <f>'TIC data'!AM370</f>
        <v>714.26099999999974</v>
      </c>
      <c r="L167" s="8">
        <f t="shared" si="22"/>
        <v>-54.533000000000243</v>
      </c>
      <c r="M167" s="4"/>
    </row>
    <row r="168" spans="1:13" ht="13" x14ac:dyDescent="0.3">
      <c r="A168" t="s">
        <v>436</v>
      </c>
      <c r="B168" s="4">
        <v>80.274900000000002</v>
      </c>
      <c r="C168" s="4">
        <f t="shared" si="17"/>
        <v>4.3854569942569572</v>
      </c>
      <c r="D168" s="3"/>
      <c r="E168" s="3" t="str">
        <f t="shared" si="16"/>
        <v>2006-11</v>
      </c>
      <c r="F168" s="1">
        <v>-58.454999999999998</v>
      </c>
      <c r="G168" s="3">
        <f t="shared" si="20"/>
        <v>-762.56600000000003</v>
      </c>
      <c r="I168" s="6">
        <v>39022</v>
      </c>
      <c r="J168" s="4">
        <f t="shared" si="21"/>
        <v>-762.56600000000003</v>
      </c>
      <c r="K168" s="4">
        <f>'TIC data'!AM371</f>
        <v>730.67099999999982</v>
      </c>
      <c r="L168" s="8">
        <f t="shared" si="22"/>
        <v>-31.895000000000209</v>
      </c>
      <c r="M168" s="4"/>
    </row>
    <row r="169" spans="1:13" ht="13" x14ac:dyDescent="0.3">
      <c r="A169" t="s">
        <v>437</v>
      </c>
      <c r="B169" s="4">
        <v>79.775900000000007</v>
      </c>
      <c r="C169" s="4">
        <f t="shared" si="17"/>
        <v>4.3792214538305343</v>
      </c>
      <c r="D169" s="3"/>
      <c r="E169" s="3" t="str">
        <f t="shared" si="16"/>
        <v>2006-12</v>
      </c>
      <c r="F169" s="1">
        <v>-60.305999999999997</v>
      </c>
      <c r="G169" s="3">
        <f t="shared" si="20"/>
        <v>-758.52499999999998</v>
      </c>
      <c r="I169" s="6">
        <v>39052</v>
      </c>
      <c r="J169" s="4">
        <f t="shared" si="21"/>
        <v>-758.52499999999998</v>
      </c>
      <c r="K169" s="4">
        <f>'TIC data'!AM372</f>
        <v>696.77800000000002</v>
      </c>
      <c r="L169" s="8">
        <f t="shared" si="22"/>
        <v>-61.746999999999957</v>
      </c>
      <c r="M169" s="4"/>
    </row>
    <row r="170" spans="1:13" ht="13" x14ac:dyDescent="0.3">
      <c r="A170" t="s">
        <v>438</v>
      </c>
      <c r="B170" s="4">
        <v>81.107699999999994</v>
      </c>
      <c r="C170" s="4">
        <f t="shared" si="17"/>
        <v>4.395777901127369</v>
      </c>
      <c r="D170" s="3"/>
      <c r="E170" s="3" t="str">
        <f t="shared" si="16"/>
        <v>2007-01</v>
      </c>
      <c r="F170" s="1">
        <v>-57.01</v>
      </c>
      <c r="G170" s="3">
        <f t="shared" si="20"/>
        <v>-750.37700000000007</v>
      </c>
      <c r="I170" s="6">
        <v>39083</v>
      </c>
      <c r="J170" s="4">
        <f t="shared" si="21"/>
        <v>-750.37700000000007</v>
      </c>
      <c r="K170" s="4">
        <f>'TIC data'!AM373</f>
        <v>722.72199999999998</v>
      </c>
      <c r="L170" s="8">
        <f t="shared" si="22"/>
        <v>-27.655000000000086</v>
      </c>
      <c r="M170" s="4"/>
    </row>
    <row r="171" spans="1:13" ht="13" x14ac:dyDescent="0.3">
      <c r="A171" t="s">
        <v>439</v>
      </c>
      <c r="B171" s="4">
        <v>80.78</v>
      </c>
      <c r="C171" s="4">
        <f t="shared" si="17"/>
        <v>4.3917294101352669</v>
      </c>
      <c r="D171" s="3"/>
      <c r="E171" s="3" t="str">
        <f t="shared" si="16"/>
        <v>2007-02</v>
      </c>
      <c r="F171" s="1">
        <v>-57.881999999999998</v>
      </c>
      <c r="G171" s="3">
        <f t="shared" si="20"/>
        <v>-745.88199999999995</v>
      </c>
      <c r="I171" s="6">
        <v>39114</v>
      </c>
      <c r="J171" s="4">
        <f t="shared" si="21"/>
        <v>-745.88199999999995</v>
      </c>
      <c r="K171" s="4">
        <f>'TIC data'!AM374</f>
        <v>697.49</v>
      </c>
      <c r="L171" s="8">
        <f t="shared" si="22"/>
        <v>-48.391999999999939</v>
      </c>
      <c r="M171" s="4"/>
    </row>
    <row r="172" spans="1:13" ht="13" x14ac:dyDescent="0.3">
      <c r="A172" t="s">
        <v>440</v>
      </c>
      <c r="B172" s="4">
        <v>80.055899999999994</v>
      </c>
      <c r="C172" s="4">
        <f t="shared" si="17"/>
        <v>4.3827251406617629</v>
      </c>
      <c r="D172" s="3"/>
      <c r="E172" s="3" t="str">
        <f t="shared" si="16"/>
        <v>2007-03</v>
      </c>
      <c r="F172" s="1">
        <v>-62.688000000000002</v>
      </c>
      <c r="G172" s="3">
        <f t="shared" si="20"/>
        <v>-746.39199999999994</v>
      </c>
      <c r="I172" s="6">
        <v>39142</v>
      </c>
      <c r="J172" s="4">
        <f t="shared" si="21"/>
        <v>-746.39199999999994</v>
      </c>
      <c r="K172" s="4">
        <f>'TIC data'!AM375</f>
        <v>659.17199999999991</v>
      </c>
      <c r="L172" s="8">
        <f t="shared" si="22"/>
        <v>-87.220000000000027</v>
      </c>
      <c r="M172" s="4"/>
    </row>
    <row r="173" spans="1:13" ht="13" x14ac:dyDescent="0.3">
      <c r="A173" t="s">
        <v>445</v>
      </c>
      <c r="B173" s="4">
        <v>78.876400000000004</v>
      </c>
      <c r="C173" s="4">
        <f t="shared" si="17"/>
        <v>4.3678820703076582</v>
      </c>
      <c r="D173" s="3"/>
      <c r="E173" s="3" t="str">
        <f t="shared" si="16"/>
        <v>2007-04</v>
      </c>
      <c r="F173" s="1">
        <v>-58.643999999999998</v>
      </c>
      <c r="G173" s="3">
        <f t="shared" si="20"/>
        <v>-742.69999999999993</v>
      </c>
      <c r="I173" s="6">
        <v>39173</v>
      </c>
      <c r="J173" s="4">
        <f t="shared" si="21"/>
        <v>-742.69999999999993</v>
      </c>
      <c r="K173" s="4">
        <f>'TIC data'!AM376</f>
        <v>690.00500000000011</v>
      </c>
      <c r="L173" s="8">
        <f t="shared" si="22"/>
        <v>-52.694999999999823</v>
      </c>
      <c r="M173" s="4"/>
    </row>
    <row r="174" spans="1:13" ht="13" x14ac:dyDescent="0.3">
      <c r="A174" t="s">
        <v>446</v>
      </c>
      <c r="B174" s="4">
        <v>78.255200000000002</v>
      </c>
      <c r="C174" s="4">
        <f t="shared" si="17"/>
        <v>4.3599752808864363</v>
      </c>
      <c r="D174" s="3"/>
      <c r="E174" s="3" t="str">
        <f t="shared" si="16"/>
        <v>2007-05</v>
      </c>
      <c r="F174" s="1">
        <v>-59.613999999999997</v>
      </c>
      <c r="G174" s="3">
        <f t="shared" si="20"/>
        <v>-736.6</v>
      </c>
      <c r="I174" s="6">
        <v>39203</v>
      </c>
      <c r="J174" s="4">
        <f t="shared" si="21"/>
        <v>-736.6</v>
      </c>
      <c r="K174" s="4">
        <f>'TIC data'!AM377</f>
        <v>737.50200000000007</v>
      </c>
      <c r="L174" s="8">
        <f t="shared" si="22"/>
        <v>0.90200000000004366</v>
      </c>
      <c r="M174" s="4"/>
    </row>
    <row r="175" spans="1:13" ht="13" x14ac:dyDescent="0.3">
      <c r="A175" t="s">
        <v>447</v>
      </c>
      <c r="B175" s="4">
        <v>77.975499999999997</v>
      </c>
      <c r="C175" s="4">
        <f t="shared" si="17"/>
        <v>4.3563946747849469</v>
      </c>
      <c r="D175" s="3"/>
      <c r="E175" s="3" t="str">
        <f t="shared" si="16"/>
        <v>2007-06</v>
      </c>
      <c r="F175" s="1">
        <v>-59.427999999999997</v>
      </c>
      <c r="G175" s="3">
        <f t="shared" si="20"/>
        <v>-731.50099999999998</v>
      </c>
      <c r="I175" s="6">
        <v>39234</v>
      </c>
      <c r="J175" s="4">
        <f t="shared" si="21"/>
        <v>-731.50099999999998</v>
      </c>
      <c r="K175" s="4">
        <f>'TIC data'!AM378</f>
        <v>767.12700000000007</v>
      </c>
      <c r="L175" s="8">
        <f t="shared" si="22"/>
        <v>35.62600000000009</v>
      </c>
      <c r="M175" s="4"/>
    </row>
    <row r="176" spans="1:13" ht="13" x14ac:dyDescent="0.3">
      <c r="A176" t="s">
        <v>448</v>
      </c>
      <c r="B176" s="4">
        <v>76.768600000000006</v>
      </c>
      <c r="C176" s="4">
        <f t="shared" si="17"/>
        <v>4.3407957023833061</v>
      </c>
      <c r="D176" s="3"/>
      <c r="E176" s="3" t="str">
        <f t="shared" si="16"/>
        <v>2007-07</v>
      </c>
      <c r="F176" s="1">
        <v>-58.999000000000002</v>
      </c>
      <c r="G176" s="3">
        <f t="shared" si="20"/>
        <v>-722.94600000000003</v>
      </c>
      <c r="I176" s="6">
        <v>39264</v>
      </c>
      <c r="J176" s="4">
        <f t="shared" si="21"/>
        <v>-722.94600000000003</v>
      </c>
      <c r="K176" s="4">
        <f>'TIC data'!AM379</f>
        <v>754.41799999999989</v>
      </c>
      <c r="L176" s="8">
        <f t="shared" si="22"/>
        <v>31.471999999999866</v>
      </c>
      <c r="M176" s="4"/>
    </row>
    <row r="177" spans="1:16" ht="13" x14ac:dyDescent="0.3">
      <c r="A177" t="s">
        <v>449</v>
      </c>
      <c r="B177" s="4">
        <v>76.625399999999999</v>
      </c>
      <c r="C177" s="4">
        <f t="shared" si="17"/>
        <v>4.3389286144711354</v>
      </c>
      <c r="D177" s="3"/>
      <c r="E177" s="3" t="str">
        <f t="shared" si="16"/>
        <v>2007-08</v>
      </c>
      <c r="F177" s="1">
        <v>-56.804000000000002</v>
      </c>
      <c r="G177" s="3">
        <f t="shared" si="20"/>
        <v>-712.14400000000001</v>
      </c>
      <c r="I177" s="6">
        <v>39295</v>
      </c>
      <c r="J177" s="4">
        <f t="shared" si="21"/>
        <v>-712.14400000000001</v>
      </c>
      <c r="K177" s="4">
        <f>'TIC data'!AM380</f>
        <v>604.32899999999995</v>
      </c>
      <c r="L177" s="8">
        <f t="shared" si="22"/>
        <v>-107.81500000000005</v>
      </c>
      <c r="M177" s="4"/>
    </row>
    <row r="178" spans="1:16" ht="13" x14ac:dyDescent="0.3">
      <c r="A178" t="s">
        <v>450</v>
      </c>
      <c r="B178" s="4">
        <v>75.143000000000001</v>
      </c>
      <c r="C178" s="4">
        <f t="shared" si="17"/>
        <v>4.3193929648212741</v>
      </c>
      <c r="D178" s="3"/>
      <c r="E178" s="3" t="str">
        <f t="shared" si="16"/>
        <v>2007-09</v>
      </c>
      <c r="F178" s="1">
        <v>-56.453000000000003</v>
      </c>
      <c r="G178" s="3">
        <f t="shared" si="20"/>
        <v>-704.44799999999998</v>
      </c>
      <c r="I178" s="6">
        <v>39326</v>
      </c>
      <c r="J178" s="4">
        <f t="shared" si="21"/>
        <v>-704.44799999999998</v>
      </c>
      <c r="K178" s="4">
        <f>'TIC data'!AM381</f>
        <v>514.077</v>
      </c>
      <c r="L178" s="8">
        <f t="shared" si="22"/>
        <v>-190.37099999999998</v>
      </c>
      <c r="M178" s="4"/>
    </row>
    <row r="179" spans="1:16" ht="13" x14ac:dyDescent="0.3">
      <c r="A179" t="s">
        <v>451</v>
      </c>
      <c r="B179" s="4">
        <v>73.4315</v>
      </c>
      <c r="C179" s="4">
        <f t="shared" si="17"/>
        <v>4.2963529988730178</v>
      </c>
      <c r="D179" s="3"/>
      <c r="E179" s="3" t="str">
        <f t="shared" si="16"/>
        <v>2007-10</v>
      </c>
      <c r="F179" s="1">
        <v>-57.823</v>
      </c>
      <c r="G179" s="3">
        <f t="shared" si="20"/>
        <v>-704.10599999999988</v>
      </c>
      <c r="I179" s="6">
        <v>39356</v>
      </c>
      <c r="J179" s="4">
        <f t="shared" si="21"/>
        <v>-704.10599999999988</v>
      </c>
      <c r="K179" s="4">
        <f>'TIC data'!AM382</f>
        <v>514.29200000000003</v>
      </c>
      <c r="L179" s="8">
        <f t="shared" si="22"/>
        <v>-189.81399999999985</v>
      </c>
      <c r="M179" s="4"/>
    </row>
    <row r="180" spans="1:16" ht="13" x14ac:dyDescent="0.3">
      <c r="A180" t="s">
        <v>452</v>
      </c>
      <c r="B180" s="4">
        <v>71.782300000000006</v>
      </c>
      <c r="C180" s="4">
        <f t="shared" si="17"/>
        <v>4.2736379275577461</v>
      </c>
      <c r="D180" s="3"/>
      <c r="E180" s="3" t="str">
        <f t="shared" si="16"/>
        <v>2007-11</v>
      </c>
      <c r="F180" s="1">
        <v>-63.118000000000002</v>
      </c>
      <c r="G180" s="3">
        <f t="shared" si="20"/>
        <v>-708.76900000000001</v>
      </c>
      <c r="I180" s="6">
        <v>39387</v>
      </c>
      <c r="J180" s="4">
        <f t="shared" si="21"/>
        <v>-708.76900000000001</v>
      </c>
      <c r="K180" s="4">
        <f>'TIC data'!AM383</f>
        <v>527.84999999999991</v>
      </c>
      <c r="L180" s="8">
        <f t="shared" si="22"/>
        <v>-180.9190000000001</v>
      </c>
      <c r="M180" s="4"/>
    </row>
    <row r="181" spans="1:16" ht="13" x14ac:dyDescent="0.3">
      <c r="A181" t="s">
        <v>453</v>
      </c>
      <c r="B181" s="4">
        <v>73.127399999999994</v>
      </c>
      <c r="C181" s="4">
        <f t="shared" si="17"/>
        <v>4.2922031255262594</v>
      </c>
      <c r="D181" s="3"/>
      <c r="E181" s="3" t="str">
        <f t="shared" si="16"/>
        <v>2007-12</v>
      </c>
      <c r="F181" s="1">
        <v>-58.759</v>
      </c>
      <c r="G181" s="3">
        <f t="shared" si="20"/>
        <v>-707.22199999999998</v>
      </c>
      <c r="I181" s="6">
        <v>39417</v>
      </c>
      <c r="J181" s="4">
        <f t="shared" si="21"/>
        <v>-707.22199999999998</v>
      </c>
      <c r="K181" s="4">
        <f>'TIC data'!AM384</f>
        <v>581.44199999999989</v>
      </c>
      <c r="L181" s="8">
        <f t="shared" si="22"/>
        <v>-125.78000000000009</v>
      </c>
      <c r="M181" s="4"/>
    </row>
    <row r="182" spans="1:16" ht="13" x14ac:dyDescent="0.3">
      <c r="A182" t="s">
        <v>454</v>
      </c>
      <c r="B182" s="4">
        <v>72.602800000000002</v>
      </c>
      <c r="C182" s="4">
        <f t="shared" si="17"/>
        <v>4.2850034885801564</v>
      </c>
      <c r="D182" s="3"/>
      <c r="E182" t="s">
        <v>454</v>
      </c>
      <c r="F182">
        <v>-61.485999999999997</v>
      </c>
      <c r="G182" s="3">
        <f t="shared" si="20"/>
        <v>-711.69799999999998</v>
      </c>
      <c r="I182" s="6">
        <v>39448</v>
      </c>
      <c r="J182" s="4">
        <f t="shared" ref="J182:J206" si="23">G182</f>
        <v>-711.69799999999998</v>
      </c>
      <c r="K182" s="4">
        <f>'TIC data'!AM385</f>
        <v>501.69400000000002</v>
      </c>
      <c r="L182" s="8">
        <f t="shared" ref="L182:L206" si="24">G182+K182</f>
        <v>-210.00399999999996</v>
      </c>
      <c r="M182" s="4"/>
      <c r="P182" s="15"/>
    </row>
    <row r="183" spans="1:16" ht="13" x14ac:dyDescent="0.3">
      <c r="A183" t="s">
        <v>455</v>
      </c>
      <c r="B183" s="4">
        <v>72.226399999999998</v>
      </c>
      <c r="C183" s="4">
        <f t="shared" si="17"/>
        <v>4.2798056300342857</v>
      </c>
      <c r="D183" s="3"/>
      <c r="E183" t="s">
        <v>455</v>
      </c>
      <c r="F183">
        <v>-61.749000000000002</v>
      </c>
      <c r="G183" s="3">
        <f t="shared" si="20"/>
        <v>-715.56500000000005</v>
      </c>
      <c r="I183" s="6">
        <v>39479</v>
      </c>
      <c r="J183" s="4">
        <f t="shared" si="23"/>
        <v>-715.56500000000005</v>
      </c>
      <c r="K183" s="4">
        <f>'TIC data'!AM386</f>
        <v>493.4290000000002</v>
      </c>
      <c r="L183" s="8">
        <f t="shared" si="24"/>
        <v>-222.13599999999985</v>
      </c>
      <c r="M183" s="4"/>
      <c r="P183" s="15"/>
    </row>
    <row r="184" spans="1:16" ht="13" x14ac:dyDescent="0.3">
      <c r="A184" t="s">
        <v>456</v>
      </c>
      <c r="B184" s="4">
        <v>70.041300000000007</v>
      </c>
      <c r="C184" s="4">
        <f t="shared" si="17"/>
        <v>4.2490850680677887</v>
      </c>
      <c r="E184" t="s">
        <v>456</v>
      </c>
      <c r="F184">
        <v>-59.42</v>
      </c>
      <c r="G184" s="3">
        <f t="shared" si="20"/>
        <v>-712.29699999999991</v>
      </c>
      <c r="I184" s="6">
        <v>39508</v>
      </c>
      <c r="J184" s="4">
        <f t="shared" si="23"/>
        <v>-712.29699999999991</v>
      </c>
      <c r="K184" s="4">
        <f>'TIC data'!AM387</f>
        <v>485.11200000000008</v>
      </c>
      <c r="L184" s="8">
        <f t="shared" si="24"/>
        <v>-227.18499999999983</v>
      </c>
      <c r="M184" s="4"/>
      <c r="O184" s="18"/>
      <c r="P184" s="15"/>
    </row>
    <row r="185" spans="1:16" ht="13" x14ac:dyDescent="0.3">
      <c r="A185" t="s">
        <v>457</v>
      </c>
      <c r="B185" s="4">
        <v>70.290999999999997</v>
      </c>
      <c r="C185" s="4">
        <f t="shared" si="17"/>
        <v>4.2526437678614046</v>
      </c>
      <c r="E185" t="s">
        <v>457</v>
      </c>
      <c r="F185">
        <v>-62.140999999999998</v>
      </c>
      <c r="G185" s="3">
        <f t="shared" si="20"/>
        <v>-715.79399999999998</v>
      </c>
      <c r="I185" s="6">
        <v>39539</v>
      </c>
      <c r="J185" s="4">
        <f t="shared" si="23"/>
        <v>-715.79399999999998</v>
      </c>
      <c r="K185" s="4">
        <f>'TIC data'!AM388</f>
        <v>436.79200000000009</v>
      </c>
      <c r="L185" s="8">
        <f t="shared" si="24"/>
        <v>-279.0019999999999</v>
      </c>
      <c r="M185" s="4"/>
      <c r="P185" s="15"/>
    </row>
    <row r="186" spans="1:16" ht="13" x14ac:dyDescent="0.3">
      <c r="A186" t="s">
        <v>458</v>
      </c>
      <c r="B186" s="4">
        <v>70.571600000000004</v>
      </c>
      <c r="C186" s="4">
        <f t="shared" si="17"/>
        <v>4.2566277972794566</v>
      </c>
      <c r="E186" t="s">
        <v>458</v>
      </c>
      <c r="F186">
        <v>-60.527999999999999</v>
      </c>
      <c r="G186" s="3">
        <f t="shared" si="20"/>
        <v>-716.70799999999997</v>
      </c>
      <c r="I186" s="6">
        <v>39569</v>
      </c>
      <c r="J186" s="4">
        <f t="shared" si="23"/>
        <v>-716.70799999999997</v>
      </c>
      <c r="K186" s="4">
        <f>'TIC data'!AM389</f>
        <v>396.75900000000001</v>
      </c>
      <c r="L186" s="8">
        <f t="shared" si="24"/>
        <v>-319.94899999999996</v>
      </c>
      <c r="M186" s="4"/>
      <c r="P186" s="15"/>
    </row>
    <row r="187" spans="1:16" ht="13" x14ac:dyDescent="0.3">
      <c r="A187" t="s">
        <v>459</v>
      </c>
      <c r="B187" s="4">
        <v>71.211699999999993</v>
      </c>
      <c r="C187" s="4">
        <f t="shared" si="17"/>
        <v>4.2656571307606139</v>
      </c>
      <c r="E187" t="s">
        <v>459</v>
      </c>
      <c r="F187">
        <v>-60.177</v>
      </c>
      <c r="G187" s="3">
        <f t="shared" si="20"/>
        <v>-717.45699999999999</v>
      </c>
      <c r="I187" s="6">
        <v>39600</v>
      </c>
      <c r="J187" s="4">
        <f t="shared" si="23"/>
        <v>-717.45699999999999</v>
      </c>
      <c r="K187" s="4">
        <f>'TIC data'!AM390</f>
        <v>333.47899999999993</v>
      </c>
      <c r="L187" s="8">
        <f t="shared" si="24"/>
        <v>-383.97800000000007</v>
      </c>
      <c r="M187" s="4"/>
      <c r="P187" s="15"/>
    </row>
    <row r="188" spans="1:16" ht="13" x14ac:dyDescent="0.3">
      <c r="A188" t="s">
        <v>460</v>
      </c>
      <c r="B188" s="4">
        <v>70.774500000000003</v>
      </c>
      <c r="C188" s="4">
        <f t="shared" si="17"/>
        <v>4.2594987663315393</v>
      </c>
      <c r="E188" t="s">
        <v>460</v>
      </c>
      <c r="F188">
        <v>-64.891000000000005</v>
      </c>
      <c r="G188" s="3">
        <f t="shared" si="20"/>
        <v>-723.34900000000005</v>
      </c>
      <c r="I188" s="6">
        <v>39630</v>
      </c>
      <c r="J188" s="4">
        <f t="shared" si="23"/>
        <v>-723.34900000000005</v>
      </c>
      <c r="K188" s="4">
        <f>'TIC data'!AM391</f>
        <v>293.35899999999998</v>
      </c>
      <c r="L188" s="8">
        <f t="shared" si="24"/>
        <v>-429.99000000000007</v>
      </c>
      <c r="M188" s="4"/>
      <c r="P188" s="15"/>
    </row>
    <row r="189" spans="1:16" ht="13" x14ac:dyDescent="0.3">
      <c r="A189" t="s">
        <v>461</v>
      </c>
      <c r="B189" s="4">
        <v>73.588999999999999</v>
      </c>
      <c r="C189" s="4">
        <f t="shared" si="17"/>
        <v>4.2984955580433528</v>
      </c>
      <c r="E189" t="s">
        <v>461</v>
      </c>
      <c r="F189">
        <v>-60.912999999999997</v>
      </c>
      <c r="G189" s="3">
        <f t="shared" si="20"/>
        <v>-727.45800000000008</v>
      </c>
      <c r="I189" s="6">
        <v>39661</v>
      </c>
      <c r="J189" s="4">
        <f t="shared" si="23"/>
        <v>-727.45800000000008</v>
      </c>
      <c r="K189" s="4">
        <f>'TIC data'!AM392</f>
        <v>343.00000000000006</v>
      </c>
      <c r="L189" s="8">
        <f t="shared" si="24"/>
        <v>-384.45800000000003</v>
      </c>
      <c r="M189" s="4"/>
      <c r="P189" s="15"/>
    </row>
    <row r="190" spans="1:16" ht="13" x14ac:dyDescent="0.3">
      <c r="A190" t="s">
        <v>462</v>
      </c>
      <c r="B190" s="4">
        <v>74.744</v>
      </c>
      <c r="C190" s="4">
        <f t="shared" si="17"/>
        <v>4.3140689414906541</v>
      </c>
      <c r="E190" t="s">
        <v>462</v>
      </c>
      <c r="F190">
        <v>-60.14</v>
      </c>
      <c r="G190" s="3">
        <f t="shared" si="20"/>
        <v>-731.14499999999998</v>
      </c>
      <c r="I190" s="6">
        <v>39692</v>
      </c>
      <c r="J190" s="4">
        <f t="shared" si="23"/>
        <v>-731.14499999999998</v>
      </c>
      <c r="K190" s="4">
        <f>'TIC data'!AM393</f>
        <v>392.82300000000009</v>
      </c>
      <c r="L190" s="8">
        <f t="shared" si="24"/>
        <v>-338.32199999999989</v>
      </c>
      <c r="M190" s="4"/>
      <c r="P190" s="15"/>
    </row>
    <row r="191" spans="1:16" ht="13" x14ac:dyDescent="0.3">
      <c r="A191" t="s">
        <v>463</v>
      </c>
      <c r="B191" s="4">
        <v>78.805400000000006</v>
      </c>
      <c r="C191" s="4">
        <f t="shared" si="17"/>
        <v>4.3669815224346848</v>
      </c>
      <c r="E191" t="s">
        <v>463</v>
      </c>
      <c r="F191">
        <v>-59.389000000000003</v>
      </c>
      <c r="G191" s="3">
        <f t="shared" si="20"/>
        <v>-732.71100000000001</v>
      </c>
      <c r="I191" s="6">
        <v>39722</v>
      </c>
      <c r="J191" s="4">
        <f t="shared" si="23"/>
        <v>-732.71100000000001</v>
      </c>
      <c r="K191" s="4">
        <f>'TIC data'!AM394</f>
        <v>286.72300000000001</v>
      </c>
      <c r="L191" s="8">
        <f t="shared" si="24"/>
        <v>-445.988</v>
      </c>
      <c r="M191" s="4"/>
      <c r="P191" s="15"/>
    </row>
    <row r="192" spans="1:16" ht="13" x14ac:dyDescent="0.3">
      <c r="A192" t="s">
        <v>464</v>
      </c>
      <c r="B192" s="4">
        <v>80.933499999999995</v>
      </c>
      <c r="C192" s="4">
        <f t="shared" si="17"/>
        <v>4.3936278298231857</v>
      </c>
      <c r="E192" t="s">
        <v>464</v>
      </c>
      <c r="F192">
        <v>-43.247</v>
      </c>
      <c r="G192" s="3">
        <f t="shared" si="20"/>
        <v>-712.84</v>
      </c>
      <c r="I192" s="6">
        <v>39753</v>
      </c>
      <c r="J192" s="4">
        <f t="shared" si="23"/>
        <v>-712.84</v>
      </c>
      <c r="K192" s="4">
        <f>'TIC data'!AM395</f>
        <v>217.37299999999993</v>
      </c>
      <c r="L192" s="8">
        <f t="shared" si="24"/>
        <v>-495.4670000000001</v>
      </c>
      <c r="M192" s="4"/>
      <c r="P192" s="15"/>
    </row>
    <row r="193" spans="1:16" ht="13" x14ac:dyDescent="0.3">
      <c r="A193" t="s">
        <v>465</v>
      </c>
      <c r="B193" s="4">
        <v>78.999499999999998</v>
      </c>
      <c r="C193" s="4">
        <f t="shared" si="17"/>
        <v>4.3694415233330686</v>
      </c>
      <c r="E193" t="s">
        <v>465</v>
      </c>
      <c r="F193">
        <v>-41.857999999999997</v>
      </c>
      <c r="G193" s="3">
        <f t="shared" si="20"/>
        <v>-695.93899999999996</v>
      </c>
      <c r="I193" s="6">
        <v>39783</v>
      </c>
      <c r="J193" s="4">
        <f t="shared" si="23"/>
        <v>-695.93899999999996</v>
      </c>
      <c r="K193" s="4">
        <f>'TIC data'!AM396</f>
        <v>183.51299999999998</v>
      </c>
      <c r="L193" s="8">
        <f t="shared" si="24"/>
        <v>-512.42599999999993</v>
      </c>
      <c r="M193" s="4"/>
      <c r="P193" s="15"/>
    </row>
    <row r="194" spans="1:16" ht="13" x14ac:dyDescent="0.3">
      <c r="A194" t="s">
        <v>466</v>
      </c>
      <c r="B194" s="4">
        <v>79.305899999999994</v>
      </c>
      <c r="C194" s="4">
        <f t="shared" si="17"/>
        <v>4.3733125268820121</v>
      </c>
      <c r="E194" t="s">
        <v>466</v>
      </c>
      <c r="F194">
        <v>-36.901000000000003</v>
      </c>
      <c r="G194" s="3">
        <f t="shared" si="20"/>
        <v>-671.35399999999981</v>
      </c>
      <c r="I194" s="6">
        <v>39814</v>
      </c>
      <c r="J194" s="4">
        <f t="shared" si="23"/>
        <v>-671.35399999999981</v>
      </c>
      <c r="K194" s="4">
        <f>'TIC data'!AM397</f>
        <v>124.04099999999994</v>
      </c>
      <c r="L194" s="8">
        <f t="shared" si="24"/>
        <v>-547.31299999999987</v>
      </c>
      <c r="M194" s="4"/>
      <c r="P194" s="15"/>
    </row>
    <row r="195" spans="1:16" ht="13" x14ac:dyDescent="0.3">
      <c r="A195" t="s">
        <v>467</v>
      </c>
      <c r="B195" s="4">
        <v>81.12</v>
      </c>
      <c r="C195" s="4">
        <f t="shared" ref="C195:C226" si="25">LN(B195)</f>
        <v>4.3959295398428733</v>
      </c>
      <c r="E195" t="s">
        <v>467</v>
      </c>
      <c r="F195">
        <v>-26.504000000000001</v>
      </c>
      <c r="G195" s="3">
        <f t="shared" si="20"/>
        <v>-636.10899999999992</v>
      </c>
      <c r="I195" s="6">
        <v>39845</v>
      </c>
      <c r="J195" s="4">
        <f t="shared" si="23"/>
        <v>-636.10899999999992</v>
      </c>
      <c r="K195" s="4">
        <f>'TIC data'!AM398</f>
        <v>85.850999999999999</v>
      </c>
      <c r="L195" s="8">
        <f t="shared" si="24"/>
        <v>-550.25799999999992</v>
      </c>
      <c r="M195" s="4"/>
      <c r="P195" s="15"/>
    </row>
    <row r="196" spans="1:16" ht="13" x14ac:dyDescent="0.3">
      <c r="A196" t="s">
        <v>468</v>
      </c>
      <c r="B196" s="4">
        <v>81.789100000000005</v>
      </c>
      <c r="C196" s="4">
        <f t="shared" si="25"/>
        <v>4.4041439828961462</v>
      </c>
      <c r="E196" t="s">
        <v>468</v>
      </c>
      <c r="F196">
        <v>-28.815999999999999</v>
      </c>
      <c r="G196" s="3">
        <f t="shared" si="20"/>
        <v>-605.505</v>
      </c>
      <c r="I196" s="6">
        <v>39873</v>
      </c>
      <c r="J196" s="4">
        <f t="shared" si="23"/>
        <v>-605.505</v>
      </c>
      <c r="K196" s="4">
        <f>'TIC data'!AM399</f>
        <v>71.656000000000006</v>
      </c>
      <c r="L196" s="8">
        <f t="shared" si="24"/>
        <v>-533.84899999999993</v>
      </c>
      <c r="M196" s="4"/>
      <c r="P196" s="15"/>
    </row>
    <row r="197" spans="1:16" ht="13" x14ac:dyDescent="0.3">
      <c r="A197" t="s">
        <v>469</v>
      </c>
      <c r="B197" s="4">
        <v>80.668599999999998</v>
      </c>
      <c r="C197" s="4">
        <f t="shared" si="25"/>
        <v>4.3903494041435227</v>
      </c>
      <c r="E197" t="s">
        <v>469</v>
      </c>
      <c r="F197">
        <v>-28.44</v>
      </c>
      <c r="G197" s="3">
        <f t="shared" si="20"/>
        <v>-571.80400000000009</v>
      </c>
      <c r="I197" s="6">
        <v>39904</v>
      </c>
      <c r="J197" s="4">
        <f t="shared" si="23"/>
        <v>-571.80400000000009</v>
      </c>
      <c r="K197" s="4">
        <f>'TIC data'!AM400</f>
        <v>6.1159999999999854</v>
      </c>
      <c r="L197" s="8">
        <f t="shared" si="24"/>
        <v>-565.6880000000001</v>
      </c>
      <c r="M197" s="4"/>
      <c r="P197" s="15"/>
    </row>
    <row r="198" spans="1:16" ht="13" x14ac:dyDescent="0.3">
      <c r="A198" t="s">
        <v>470</v>
      </c>
      <c r="B198" s="4">
        <v>77.540700000000001</v>
      </c>
      <c r="C198" s="4">
        <f t="shared" si="25"/>
        <v>4.350802959800693</v>
      </c>
      <c r="E198" t="s">
        <v>470</v>
      </c>
      <c r="F198">
        <v>-25.763000000000002</v>
      </c>
      <c r="G198" s="3">
        <f t="shared" si="20"/>
        <v>-537.03899999999999</v>
      </c>
      <c r="I198" s="6">
        <v>39934</v>
      </c>
      <c r="J198" s="4">
        <f t="shared" si="23"/>
        <v>-537.03899999999999</v>
      </c>
      <c r="K198" s="4">
        <f>'TIC data'!AM401</f>
        <v>-61.96399999999997</v>
      </c>
      <c r="L198" s="8">
        <f t="shared" si="24"/>
        <v>-599.00299999999993</v>
      </c>
      <c r="M198" s="4"/>
      <c r="P198" s="15"/>
    </row>
    <row r="199" spans="1:16" ht="13" x14ac:dyDescent="0.3">
      <c r="A199" t="s">
        <v>471</v>
      </c>
      <c r="B199" s="4">
        <v>76.008200000000002</v>
      </c>
      <c r="C199" s="4">
        <f t="shared" si="25"/>
        <v>4.3308412292029548</v>
      </c>
      <c r="E199" t="s">
        <v>471</v>
      </c>
      <c r="F199">
        <v>-26.876000000000001</v>
      </c>
      <c r="G199" s="3">
        <f t="shared" si="20"/>
        <v>-503.738</v>
      </c>
      <c r="I199" s="6">
        <v>39965</v>
      </c>
      <c r="J199" s="4">
        <f t="shared" si="23"/>
        <v>-503.738</v>
      </c>
      <c r="K199" s="4">
        <f>'TIC data'!AM402</f>
        <v>-91.619</v>
      </c>
      <c r="L199" s="8">
        <f t="shared" si="24"/>
        <v>-595.35699999999997</v>
      </c>
      <c r="M199" s="4"/>
      <c r="P199" s="15"/>
    </row>
    <row r="200" spans="1:16" ht="13" x14ac:dyDescent="0.3">
      <c r="A200" t="s">
        <v>472</v>
      </c>
      <c r="B200" s="4">
        <v>75.465000000000003</v>
      </c>
      <c r="C200" s="4">
        <f t="shared" si="25"/>
        <v>4.3236689726113919</v>
      </c>
      <c r="E200" t="s">
        <v>472</v>
      </c>
      <c r="F200">
        <v>-31.164999999999999</v>
      </c>
      <c r="G200" s="3">
        <f t="shared" si="20"/>
        <v>-470.012</v>
      </c>
      <c r="I200" s="6">
        <v>39995</v>
      </c>
      <c r="J200" s="4">
        <f t="shared" si="23"/>
        <v>-470.012</v>
      </c>
      <c r="K200" s="4">
        <f>'TIC data'!AM403</f>
        <v>-85.923000000000059</v>
      </c>
      <c r="L200" s="8">
        <f t="shared" si="24"/>
        <v>-555.93500000000006</v>
      </c>
      <c r="M200" s="4"/>
      <c r="P200" s="15"/>
    </row>
    <row r="201" spans="1:16" ht="13" x14ac:dyDescent="0.3">
      <c r="A201" t="s">
        <v>473</v>
      </c>
      <c r="B201" s="4">
        <v>74.432599999999994</v>
      </c>
      <c r="C201" s="4">
        <f t="shared" si="25"/>
        <v>4.3098940179127201</v>
      </c>
      <c r="E201" t="s">
        <v>473</v>
      </c>
      <c r="F201">
        <v>-29.937999999999999</v>
      </c>
      <c r="G201" s="3">
        <f t="shared" si="20"/>
        <v>-439.03699999999998</v>
      </c>
      <c r="I201" s="6">
        <v>40026</v>
      </c>
      <c r="J201" s="4">
        <f t="shared" si="23"/>
        <v>-439.03699999999998</v>
      </c>
      <c r="K201" s="4">
        <f>'TIC data'!AM404</f>
        <v>-59.521000000000043</v>
      </c>
      <c r="L201" s="8">
        <f t="shared" si="24"/>
        <v>-498.55799999999999</v>
      </c>
      <c r="M201" s="4"/>
      <c r="P201" s="15"/>
    </row>
    <row r="202" spans="1:16" ht="13" x14ac:dyDescent="0.3">
      <c r="A202" t="s">
        <v>474</v>
      </c>
      <c r="B202" s="4">
        <v>73.345699999999994</v>
      </c>
      <c r="C202" s="4">
        <f t="shared" si="25"/>
        <v>4.2951838798303745</v>
      </c>
      <c r="E202" t="s">
        <v>474</v>
      </c>
      <c r="F202">
        <v>-35.280999999999999</v>
      </c>
      <c r="G202" s="3">
        <f t="shared" si="20"/>
        <v>-414.178</v>
      </c>
      <c r="I202" s="6">
        <v>40057</v>
      </c>
      <c r="J202" s="4">
        <f t="shared" si="23"/>
        <v>-414.178</v>
      </c>
      <c r="K202" s="4">
        <f>'TIC data'!AM405</f>
        <v>-101.97400000000005</v>
      </c>
      <c r="L202" s="8">
        <f t="shared" si="24"/>
        <v>-516.15200000000004</v>
      </c>
      <c r="M202" s="4"/>
      <c r="P202" s="15"/>
    </row>
    <row r="203" spans="1:16" ht="13" x14ac:dyDescent="0.3">
      <c r="A203" t="s">
        <v>475</v>
      </c>
      <c r="B203" s="4">
        <v>72.249099999999999</v>
      </c>
      <c r="C203" s="4">
        <f t="shared" si="25"/>
        <v>4.2801198701675505</v>
      </c>
      <c r="E203" t="s">
        <v>475</v>
      </c>
      <c r="F203">
        <v>-32.933</v>
      </c>
      <c r="G203" s="3">
        <f t="shared" si="20"/>
        <v>-387.72199999999998</v>
      </c>
      <c r="I203" s="6">
        <v>40087</v>
      </c>
      <c r="J203" s="4">
        <f t="shared" si="23"/>
        <v>-387.72199999999998</v>
      </c>
      <c r="K203" s="4">
        <f>'TIC data'!AM406</f>
        <v>-79.62700000000001</v>
      </c>
      <c r="L203" s="8">
        <f t="shared" si="24"/>
        <v>-467.34899999999999</v>
      </c>
      <c r="M203" s="4"/>
      <c r="P203" s="15"/>
    </row>
    <row r="204" spans="1:16" ht="13" x14ac:dyDescent="0.3">
      <c r="A204" t="s">
        <v>476</v>
      </c>
      <c r="B204" s="4">
        <v>71.805700000000002</v>
      </c>
      <c r="C204" s="4">
        <f t="shared" si="25"/>
        <v>4.273963860089812</v>
      </c>
      <c r="E204" t="s">
        <v>476</v>
      </c>
      <c r="F204">
        <v>-36.113999999999997</v>
      </c>
      <c r="G204" s="3">
        <f t="shared" si="20"/>
        <v>-380.589</v>
      </c>
      <c r="I204" s="6">
        <v>40118</v>
      </c>
      <c r="J204" s="4">
        <f t="shared" si="23"/>
        <v>-380.589</v>
      </c>
      <c r="K204" s="4">
        <f>'TIC data'!AM407</f>
        <v>-69.132000000000005</v>
      </c>
      <c r="L204" s="8">
        <f t="shared" si="24"/>
        <v>-449.721</v>
      </c>
      <c r="M204" s="4"/>
      <c r="P204" s="15"/>
    </row>
    <row r="205" spans="1:16" ht="13" x14ac:dyDescent="0.3">
      <c r="A205" t="s">
        <v>477</v>
      </c>
      <c r="B205" s="4">
        <v>72.606099999999998</v>
      </c>
      <c r="C205" s="4">
        <f t="shared" si="25"/>
        <v>4.2850489403396637</v>
      </c>
      <c r="E205" t="s">
        <v>477</v>
      </c>
      <c r="F205">
        <v>-39.902000000000001</v>
      </c>
      <c r="G205" s="3">
        <f t="shared" si="20"/>
        <v>-378.63299999999992</v>
      </c>
      <c r="I205" s="6">
        <v>40148</v>
      </c>
      <c r="J205" s="4">
        <f t="shared" si="23"/>
        <v>-378.63299999999992</v>
      </c>
      <c r="K205" s="4">
        <f>'TIC data'!AM408</f>
        <v>-96.97399999999999</v>
      </c>
      <c r="L205" s="8">
        <f t="shared" si="24"/>
        <v>-475.60699999999991</v>
      </c>
      <c r="M205" s="4"/>
      <c r="P205" s="15"/>
    </row>
    <row r="206" spans="1:16" ht="13" x14ac:dyDescent="0.3">
      <c r="A206" t="s">
        <v>478</v>
      </c>
      <c r="B206" s="4">
        <v>73.076499999999996</v>
      </c>
      <c r="C206" s="4">
        <f t="shared" si="25"/>
        <v>4.2915068376426069</v>
      </c>
      <c r="E206" t="s">
        <v>478</v>
      </c>
      <c r="F206">
        <v>-37.287999999999997</v>
      </c>
      <c r="G206" s="3">
        <f t="shared" si="20"/>
        <v>-379.02</v>
      </c>
      <c r="I206" s="6">
        <v>40179</v>
      </c>
      <c r="J206" s="4">
        <f t="shared" si="23"/>
        <v>-379.02</v>
      </c>
      <c r="K206" s="4">
        <f>'TIC data'!AM409</f>
        <v>-95.2650000000001</v>
      </c>
      <c r="L206" s="8">
        <f t="shared" si="24"/>
        <v>-474.28500000000008</v>
      </c>
      <c r="M206" s="4"/>
      <c r="P206" s="15"/>
    </row>
    <row r="207" spans="1:16" ht="13" x14ac:dyDescent="0.3">
      <c r="A207" s="20" t="s">
        <v>480</v>
      </c>
      <c r="B207" s="4">
        <v>74.733950032153899</v>
      </c>
      <c r="C207" s="4">
        <f t="shared" si="25"/>
        <v>4.3139344739272572</v>
      </c>
      <c r="E207" s="20" t="s">
        <v>480</v>
      </c>
      <c r="F207" s="1">
        <v>-39.718000000000004</v>
      </c>
      <c r="G207" s="3">
        <f t="shared" si="20"/>
        <v>-392.23399999999998</v>
      </c>
      <c r="I207" s="6">
        <v>40210</v>
      </c>
      <c r="J207" s="4">
        <f t="shared" ref="J207:J226" si="26">G207</f>
        <v>-392.23399999999998</v>
      </c>
      <c r="K207" s="4">
        <f>'TIC data'!AM410</f>
        <v>-99.991000000000099</v>
      </c>
      <c r="L207" s="8">
        <f t="shared" ref="L207:L226" si="27">G207+K207</f>
        <v>-492.22500000000008</v>
      </c>
      <c r="M207" s="4"/>
      <c r="P207" s="15"/>
    </row>
    <row r="208" spans="1:16" ht="13" x14ac:dyDescent="0.3">
      <c r="A208" s="20" t="s">
        <v>481</v>
      </c>
      <c r="B208" s="4">
        <v>74.423889242995514</v>
      </c>
      <c r="C208" s="4">
        <f t="shared" si="25"/>
        <v>4.3097769822757961</v>
      </c>
      <c r="E208" s="20" t="s">
        <v>481</v>
      </c>
      <c r="F208" s="1">
        <v>-39.506</v>
      </c>
      <c r="G208" s="3">
        <f t="shared" si="20"/>
        <v>-402.92399999999998</v>
      </c>
      <c r="I208" s="6">
        <v>40238</v>
      </c>
      <c r="J208" s="4">
        <f t="shared" si="26"/>
        <v>-402.92399999999998</v>
      </c>
      <c r="K208" s="4">
        <f>'TIC data'!AM411</f>
        <v>-74.761000000000081</v>
      </c>
      <c r="L208" s="8">
        <f t="shared" si="27"/>
        <v>-477.68500000000006</v>
      </c>
      <c r="M208" s="4"/>
      <c r="P208" s="15"/>
    </row>
    <row r="209" spans="1:16" ht="13" x14ac:dyDescent="0.3">
      <c r="A209" s="20" t="s">
        <v>482</v>
      </c>
      <c r="B209" s="4">
        <v>74.6098861426821</v>
      </c>
      <c r="C209" s="4">
        <f t="shared" si="25"/>
        <v>4.3122730204493154</v>
      </c>
      <c r="E209" s="20" t="s">
        <v>482</v>
      </c>
      <c r="F209" s="1">
        <v>-40.570999999999998</v>
      </c>
      <c r="G209" s="3">
        <f t="shared" si="20"/>
        <v>-415.05500000000006</v>
      </c>
      <c r="I209" s="6">
        <v>40269</v>
      </c>
      <c r="J209" s="4">
        <f t="shared" si="26"/>
        <v>-415.05500000000006</v>
      </c>
      <c r="K209" s="4">
        <f>'TIC data'!AM412</f>
        <v>-46.088000000000079</v>
      </c>
      <c r="L209" s="8">
        <f t="shared" si="27"/>
        <v>-461.14300000000014</v>
      </c>
      <c r="M209" s="4"/>
      <c r="P209" s="15"/>
    </row>
    <row r="210" spans="1:16" ht="13" x14ac:dyDescent="0.3">
      <c r="A210" s="20" t="s">
        <v>483</v>
      </c>
      <c r="B210" s="4">
        <v>77.661521446316513</v>
      </c>
      <c r="C210" s="4">
        <f t="shared" si="25"/>
        <v>4.352359915230811</v>
      </c>
      <c r="E210" s="20" t="s">
        <v>483</v>
      </c>
      <c r="F210" s="1">
        <v>-41.996000000000002</v>
      </c>
      <c r="G210" s="3">
        <f t="shared" si="20"/>
        <v>-431.28800000000001</v>
      </c>
      <c r="I210" s="6">
        <v>40299</v>
      </c>
      <c r="J210" s="4">
        <f t="shared" si="26"/>
        <v>-431.28800000000001</v>
      </c>
      <c r="K210" s="4">
        <f>'TIC data'!AM413</f>
        <v>-35.329000000000178</v>
      </c>
      <c r="L210" s="8">
        <f t="shared" si="27"/>
        <v>-466.61700000000019</v>
      </c>
      <c r="M210" s="4"/>
      <c r="P210" s="15"/>
    </row>
    <row r="211" spans="1:16" ht="13" x14ac:dyDescent="0.3">
      <c r="A211" s="20" t="s">
        <v>484</v>
      </c>
      <c r="B211" s="4">
        <v>78.219116407291807</v>
      </c>
      <c r="C211" s="4">
        <f t="shared" si="25"/>
        <v>4.3595140730131403</v>
      </c>
      <c r="E211" s="20" t="s">
        <v>484</v>
      </c>
      <c r="F211" s="1">
        <v>-49.941000000000003</v>
      </c>
      <c r="G211" s="3">
        <f t="shared" ref="G211:G226" si="28">SUM(F200:F211)</f>
        <v>-454.35300000000007</v>
      </c>
      <c r="I211" s="6">
        <v>40330</v>
      </c>
      <c r="J211" s="4">
        <f t="shared" si="26"/>
        <v>-454.35300000000007</v>
      </c>
      <c r="K211" s="4">
        <f>'TIC data'!AM414</f>
        <v>-18.380999999999972</v>
      </c>
      <c r="L211" s="8">
        <f t="shared" si="27"/>
        <v>-472.73400000000004</v>
      </c>
      <c r="M211" s="4"/>
      <c r="P211" s="15"/>
    </row>
    <row r="212" spans="1:16" ht="13" x14ac:dyDescent="0.3">
      <c r="A212" s="20" t="s">
        <v>485</v>
      </c>
      <c r="B212" s="4">
        <v>75.949756362073273</v>
      </c>
      <c r="C212" s="4">
        <f t="shared" si="25"/>
        <v>4.3300720211640007</v>
      </c>
      <c r="E212" s="20" t="s">
        <v>485</v>
      </c>
      <c r="F212" s="1">
        <v>-42.225999999999999</v>
      </c>
      <c r="G212" s="3">
        <f t="shared" si="28"/>
        <v>-465.4140000000001</v>
      </c>
      <c r="I212" s="6">
        <v>40360</v>
      </c>
      <c r="J212" s="4">
        <f t="shared" si="26"/>
        <v>-465.4140000000001</v>
      </c>
      <c r="K212" s="4">
        <f>'TIC data'!AM415</f>
        <v>24.782000000000039</v>
      </c>
      <c r="L212" s="8">
        <f t="shared" si="27"/>
        <v>-440.63200000000006</v>
      </c>
      <c r="M212" s="4"/>
      <c r="P212" s="15"/>
    </row>
    <row r="213" spans="1:16" ht="13" x14ac:dyDescent="0.3">
      <c r="A213" s="20" t="s">
        <v>486</v>
      </c>
      <c r="B213" s="4">
        <v>75.137800747324448</v>
      </c>
      <c r="C213" s="4">
        <f t="shared" si="25"/>
        <v>4.3193237709834476</v>
      </c>
      <c r="E213" s="20" t="s">
        <v>486</v>
      </c>
      <c r="F213" s="1">
        <v>-46.316000000000003</v>
      </c>
      <c r="G213" s="3">
        <f t="shared" si="28"/>
        <v>-481.79200000000014</v>
      </c>
      <c r="I213" s="6">
        <v>40391</v>
      </c>
      <c r="J213" s="4">
        <f t="shared" si="26"/>
        <v>-481.79200000000014</v>
      </c>
      <c r="K213" s="4">
        <f>'TIC data'!AM416</f>
        <v>24.240999999999985</v>
      </c>
      <c r="L213" s="8">
        <f t="shared" si="27"/>
        <v>-457.55100000000016</v>
      </c>
      <c r="M213" s="4"/>
      <c r="P213" s="15"/>
    </row>
    <row r="214" spans="1:16" ht="13" x14ac:dyDescent="0.3">
      <c r="A214" s="20" t="s">
        <v>487</v>
      </c>
      <c r="B214" s="4">
        <v>74.186347457810683</v>
      </c>
      <c r="C214" s="4">
        <f t="shared" si="25"/>
        <v>4.3065801367184351</v>
      </c>
      <c r="E214" s="20" t="s">
        <v>487</v>
      </c>
      <c r="F214" s="1">
        <v>-44.079000000000001</v>
      </c>
      <c r="G214" s="3">
        <f t="shared" si="28"/>
        <v>-490.59</v>
      </c>
      <c r="I214" s="6">
        <v>40422</v>
      </c>
      <c r="J214" s="4">
        <f t="shared" si="26"/>
        <v>-490.59</v>
      </c>
      <c r="K214" s="4">
        <f>'TIC data'!AM417</f>
        <v>26.010999999999967</v>
      </c>
      <c r="L214" s="8">
        <f t="shared" si="27"/>
        <v>-464.57900000000001</v>
      </c>
      <c r="M214" s="4"/>
      <c r="P214" s="15"/>
    </row>
    <row r="215" spans="1:16" ht="13" x14ac:dyDescent="0.3">
      <c r="A215" s="20" t="s">
        <v>488</v>
      </c>
      <c r="B215" s="4">
        <v>71.529559827925823</v>
      </c>
      <c r="C215" s="4">
        <f t="shared" si="25"/>
        <v>4.2701107884305323</v>
      </c>
      <c r="E215" s="20" t="s">
        <v>488</v>
      </c>
      <c r="F215" s="1">
        <v>-38.226999999999997</v>
      </c>
      <c r="G215" s="3">
        <f t="shared" si="28"/>
        <v>-495.88399999999996</v>
      </c>
      <c r="I215" s="6">
        <v>40452</v>
      </c>
      <c r="J215" s="4">
        <f t="shared" si="26"/>
        <v>-495.88399999999996</v>
      </c>
      <c r="K215" s="4">
        <f>'TIC data'!AM418</f>
        <v>49.97099999999989</v>
      </c>
      <c r="L215" s="8">
        <f t="shared" si="27"/>
        <v>-445.91300000000007</v>
      </c>
      <c r="M215" s="4"/>
      <c r="P215" s="15"/>
    </row>
    <row r="216" spans="1:16" ht="13" x14ac:dyDescent="0.3">
      <c r="A216" s="20" t="s">
        <v>489</v>
      </c>
      <c r="B216" s="4">
        <v>72.051439426780476</v>
      </c>
      <c r="C216" s="4">
        <f t="shared" si="25"/>
        <v>4.2773803004108624</v>
      </c>
      <c r="E216" s="20" t="s">
        <v>489</v>
      </c>
      <c r="F216" s="1">
        <v>-38.238999999999997</v>
      </c>
      <c r="G216" s="3">
        <f t="shared" si="28"/>
        <v>-498.00900000000001</v>
      </c>
      <c r="I216" s="6">
        <v>40483</v>
      </c>
      <c r="J216" s="4">
        <f t="shared" si="26"/>
        <v>-498.00900000000001</v>
      </c>
      <c r="K216" s="4">
        <f>'TIC data'!AM419</f>
        <v>64.924999999999955</v>
      </c>
      <c r="L216" s="8">
        <f t="shared" si="27"/>
        <v>-433.08400000000006</v>
      </c>
      <c r="M216" s="4"/>
      <c r="P216" s="15"/>
    </row>
    <row r="217" spans="1:16" ht="13" x14ac:dyDescent="0.3">
      <c r="A217" s="20" t="s">
        <v>490</v>
      </c>
      <c r="B217" s="4">
        <v>73.000815091350944</v>
      </c>
      <c r="C217" s="4">
        <f t="shared" si="25"/>
        <v>4.2904706067210006</v>
      </c>
      <c r="E217" s="20" t="s">
        <v>490</v>
      </c>
      <c r="F217" s="1">
        <v>-40.264000000000003</v>
      </c>
      <c r="G217" s="3">
        <f t="shared" si="28"/>
        <v>-498.37099999999998</v>
      </c>
      <c r="I217" s="6">
        <v>40513</v>
      </c>
      <c r="J217" s="4">
        <f t="shared" si="26"/>
        <v>-498.37099999999998</v>
      </c>
      <c r="K217" s="4">
        <f>'TIC data'!AM420</f>
        <v>79.462999999999965</v>
      </c>
      <c r="L217" s="8">
        <f t="shared" si="27"/>
        <v>-418.90800000000002</v>
      </c>
      <c r="M217" s="4"/>
      <c r="P217" s="15"/>
    </row>
    <row r="218" spans="1:16" ht="13" x14ac:dyDescent="0.3">
      <c r="A218" s="20" t="s">
        <v>479</v>
      </c>
      <c r="B218" s="4">
        <v>72.150571816932583</v>
      </c>
      <c r="C218" s="4">
        <f t="shared" si="25"/>
        <v>4.2787552105790851</v>
      </c>
      <c r="E218" s="20" t="s">
        <v>479</v>
      </c>
      <c r="F218" s="1">
        <v>-46.341000000000001</v>
      </c>
      <c r="G218" s="3">
        <f t="shared" si="28"/>
        <v>-507.42399999999998</v>
      </c>
      <c r="I218" s="6">
        <v>40544</v>
      </c>
      <c r="J218" s="4">
        <f t="shared" si="26"/>
        <v>-507.42399999999998</v>
      </c>
      <c r="K218" s="4">
        <f>'TIC data'!AM421</f>
        <v>126.79499999999996</v>
      </c>
      <c r="L218" s="8">
        <f t="shared" si="27"/>
        <v>-380.62900000000002</v>
      </c>
      <c r="M218" s="4"/>
      <c r="P218" s="15"/>
    </row>
    <row r="219" spans="1:16" ht="13" x14ac:dyDescent="0.3">
      <c r="A219" s="20" t="s">
        <v>491</v>
      </c>
      <c r="B219" s="4">
        <v>71.228897818272884</v>
      </c>
      <c r="C219" s="4">
        <f t="shared" si="25"/>
        <v>4.265898604309867</v>
      </c>
      <c r="E219" s="20" t="s">
        <v>491</v>
      </c>
      <c r="F219" s="1">
        <v>-45.718000000000004</v>
      </c>
      <c r="G219" s="3">
        <f t="shared" si="28"/>
        <v>-513.42399999999998</v>
      </c>
      <c r="I219" s="6">
        <v>40575</v>
      </c>
      <c r="J219" s="4">
        <f t="shared" si="26"/>
        <v>-513.42399999999998</v>
      </c>
      <c r="K219" s="4">
        <f>'TIC data'!AM422</f>
        <v>125.52499999999998</v>
      </c>
      <c r="L219" s="8">
        <f t="shared" si="27"/>
        <v>-387.899</v>
      </c>
      <c r="M219" s="4"/>
      <c r="P219" s="15"/>
    </row>
    <row r="220" spans="1:16" ht="13" x14ac:dyDescent="0.3">
      <c r="A220" s="20" t="s">
        <v>492</v>
      </c>
      <c r="B220" s="4">
        <v>70.056029070515208</v>
      </c>
      <c r="C220" s="4">
        <f t="shared" si="25"/>
        <v>4.2492953371809428</v>
      </c>
      <c r="E220" s="20" t="s">
        <v>492</v>
      </c>
      <c r="F220" s="1">
        <v>-46.396999999999998</v>
      </c>
      <c r="G220" s="3">
        <f t="shared" si="28"/>
        <v>-520.31500000000005</v>
      </c>
      <c r="I220" s="6">
        <v>40603</v>
      </c>
      <c r="J220" s="4">
        <f t="shared" si="26"/>
        <v>-520.31500000000005</v>
      </c>
      <c r="K220" s="4">
        <f>'TIC data'!AM423</f>
        <v>91.527000000000157</v>
      </c>
      <c r="L220" s="8">
        <f t="shared" si="27"/>
        <v>-428.7879999999999</v>
      </c>
      <c r="M220" s="4"/>
      <c r="P220" s="15"/>
    </row>
    <row r="221" spans="1:16" ht="13" x14ac:dyDescent="0.3">
      <c r="A221" s="20" t="s">
        <v>493</v>
      </c>
      <c r="B221" s="4">
        <v>68.843685448834677</v>
      </c>
      <c r="C221" s="4">
        <f t="shared" si="25"/>
        <v>4.2318385063547463</v>
      </c>
      <c r="E221" s="20" t="s">
        <v>493</v>
      </c>
      <c r="F221" s="1">
        <v>-43.561</v>
      </c>
      <c r="G221" s="3">
        <f t="shared" si="28"/>
        <v>-523.30500000000006</v>
      </c>
      <c r="I221" s="6">
        <v>40634</v>
      </c>
      <c r="J221" s="4">
        <f t="shared" si="26"/>
        <v>-523.30500000000006</v>
      </c>
      <c r="K221" s="4">
        <f>'TIC data'!AM424</f>
        <v>99.500999999999863</v>
      </c>
      <c r="L221" s="8">
        <f t="shared" si="27"/>
        <v>-423.8040000000002</v>
      </c>
      <c r="M221" s="4"/>
      <c r="P221" s="15"/>
    </row>
    <row r="222" spans="1:16" ht="13" x14ac:dyDescent="0.3">
      <c r="A222" s="20" t="s">
        <v>494</v>
      </c>
      <c r="B222" s="4">
        <v>68.92243732763815</v>
      </c>
      <c r="C222" s="4">
        <f t="shared" si="25"/>
        <v>4.2329817756257997</v>
      </c>
      <c r="E222" s="20" t="s">
        <v>494</v>
      </c>
      <c r="F222" s="1">
        <v>-50.54</v>
      </c>
      <c r="G222" s="3">
        <f t="shared" si="28"/>
        <v>-531.84900000000005</v>
      </c>
      <c r="I222" s="6">
        <v>40664</v>
      </c>
      <c r="J222" s="4">
        <f t="shared" si="26"/>
        <v>-531.84900000000005</v>
      </c>
      <c r="K222" s="4">
        <f>'TIC data'!AM425</f>
        <v>69.829999999999927</v>
      </c>
      <c r="L222" s="8">
        <f t="shared" si="27"/>
        <v>-462.01900000000012</v>
      </c>
      <c r="M222" s="4"/>
      <c r="P222" s="15"/>
    </row>
    <row r="223" spans="1:16" ht="13" x14ac:dyDescent="0.3">
      <c r="A223" s="20" t="s">
        <v>495</v>
      </c>
      <c r="B223" s="4">
        <v>68.835869621667015</v>
      </c>
      <c r="C223" s="4">
        <f t="shared" si="25"/>
        <v>4.2317249698580301</v>
      </c>
      <c r="E223" s="20" t="s">
        <v>495</v>
      </c>
      <c r="F223" s="1">
        <v>-52.103999999999999</v>
      </c>
      <c r="G223" s="3">
        <f t="shared" si="28"/>
        <v>-534.01200000000006</v>
      </c>
      <c r="I223" s="6">
        <v>40695</v>
      </c>
      <c r="J223" s="4">
        <f t="shared" si="26"/>
        <v>-534.01200000000006</v>
      </c>
      <c r="K223" s="4">
        <f>'TIC data'!AM426</f>
        <v>69.231999999999857</v>
      </c>
      <c r="L223" s="8">
        <f t="shared" si="27"/>
        <v>-464.7800000000002</v>
      </c>
      <c r="M223" s="4"/>
      <c r="P223" s="15"/>
    </row>
    <row r="224" spans="1:16" ht="13" x14ac:dyDescent="0.3">
      <c r="A224" s="20" t="s">
        <v>496</v>
      </c>
      <c r="B224" s="4">
        <v>68.379484675787111</v>
      </c>
      <c r="C224" s="4">
        <f t="shared" si="25"/>
        <v>4.225072847999475</v>
      </c>
      <c r="E224" s="20" t="s">
        <v>496</v>
      </c>
      <c r="F224" s="1">
        <v>-46.069000000000003</v>
      </c>
      <c r="G224" s="3">
        <f t="shared" si="28"/>
        <v>-537.85500000000002</v>
      </c>
      <c r="I224" s="6">
        <v>40725</v>
      </c>
      <c r="J224" s="4">
        <f t="shared" si="26"/>
        <v>-537.85500000000002</v>
      </c>
      <c r="K224" s="4">
        <f>'TIC data'!AM427</f>
        <v>33.445999999999913</v>
      </c>
      <c r="L224" s="8">
        <f t="shared" si="27"/>
        <v>-504.40900000000011</v>
      </c>
      <c r="M224" s="4"/>
      <c r="P224" s="15"/>
    </row>
    <row r="225" spans="1:16" ht="13" x14ac:dyDescent="0.3">
      <c r="A225" s="20" t="s">
        <v>497</v>
      </c>
      <c r="B225" s="4">
        <v>68.333084385386584</v>
      </c>
      <c r="C225" s="4">
        <f t="shared" si="25"/>
        <v>4.2243940473229777</v>
      </c>
      <c r="E225" s="20" t="s">
        <v>497</v>
      </c>
      <c r="F225" s="1">
        <v>-45.341000000000001</v>
      </c>
      <c r="G225" s="3">
        <f t="shared" si="28"/>
        <v>-536.88</v>
      </c>
      <c r="I225" s="6">
        <v>40756</v>
      </c>
      <c r="J225" s="4">
        <f t="shared" si="26"/>
        <v>-536.88</v>
      </c>
      <c r="K225" s="4">
        <f>'TIC data'!AM428</f>
        <v>23.543000000000063</v>
      </c>
      <c r="L225" s="8">
        <f t="shared" si="27"/>
        <v>-513.33699999999999</v>
      </c>
      <c r="M225" s="4"/>
      <c r="P225" s="15"/>
    </row>
    <row r="226" spans="1:16" ht="13" x14ac:dyDescent="0.3">
      <c r="A226" s="20" t="s">
        <v>498</v>
      </c>
      <c r="B226" s="4">
        <v>70.411105066778603</v>
      </c>
      <c r="C226" s="4">
        <f t="shared" si="25"/>
        <v>4.2543509931498011</v>
      </c>
      <c r="E226" s="20" t="s">
        <v>498</v>
      </c>
      <c r="F226" s="1">
        <v>-44.17</v>
      </c>
      <c r="G226" s="3">
        <f t="shared" si="28"/>
        <v>-536.971</v>
      </c>
      <c r="I226" s="6">
        <v>40787</v>
      </c>
      <c r="J226" s="4">
        <f t="shared" si="26"/>
        <v>-536.971</v>
      </c>
      <c r="K226" s="4">
        <f>'TIC data'!AM429</f>
        <v>9.2800000000000296</v>
      </c>
      <c r="L226" s="8">
        <f t="shared" si="27"/>
        <v>-527.69100000000003</v>
      </c>
      <c r="M226" s="4"/>
      <c r="P226" s="15"/>
    </row>
    <row r="227" spans="1:16" x14ac:dyDescent="0.25">
      <c r="A227" s="20"/>
      <c r="C227" s="4"/>
      <c r="E227" s="20"/>
      <c r="G227" s="3"/>
      <c r="I227" s="6"/>
      <c r="J227" s="4"/>
      <c r="K227" s="4"/>
      <c r="M227" s="4"/>
    </row>
    <row r="228" spans="1:16" x14ac:dyDescent="0.25">
      <c r="A228" s="20"/>
      <c r="E228" s="20"/>
      <c r="I228" s="6"/>
      <c r="K228" s="4"/>
      <c r="M228" s="4"/>
    </row>
    <row r="229" spans="1:16" x14ac:dyDescent="0.25">
      <c r="E229" s="20"/>
      <c r="I229" s="6"/>
    </row>
    <row r="230" spans="1:16" x14ac:dyDescent="0.25">
      <c r="I230" s="6"/>
    </row>
    <row r="231" spans="1:16" x14ac:dyDescent="0.25">
      <c r="I231" s="6"/>
    </row>
    <row r="232" spans="1:16" x14ac:dyDescent="0.25">
      <c r="I232" s="6"/>
    </row>
    <row r="233" spans="1:16" x14ac:dyDescent="0.25">
      <c r="I233" s="6"/>
    </row>
    <row r="234" spans="1:16" x14ac:dyDescent="0.25">
      <c r="I234" s="6"/>
    </row>
    <row r="235" spans="1:16" x14ac:dyDescent="0.25">
      <c r="I235" s="6"/>
    </row>
    <row r="236" spans="1:16" x14ac:dyDescent="0.25">
      <c r="I236" s="6"/>
    </row>
    <row r="237" spans="1:16" x14ac:dyDescent="0.25">
      <c r="I237" s="6"/>
    </row>
    <row r="238" spans="1:16" x14ac:dyDescent="0.25">
      <c r="I238" s="6"/>
    </row>
    <row r="239" spans="1:16" x14ac:dyDescent="0.25">
      <c r="I239" s="6"/>
    </row>
    <row r="240" spans="1:16" x14ac:dyDescent="0.25">
      <c r="I240" s="6"/>
    </row>
    <row r="241" spans="9:9" x14ac:dyDescent="0.25">
      <c r="I241" s="6"/>
    </row>
    <row r="242" spans="9:9" x14ac:dyDescent="0.25">
      <c r="I242" s="6"/>
    </row>
    <row r="243" spans="9:9" x14ac:dyDescent="0.25">
      <c r="I243" s="6"/>
    </row>
    <row r="244" spans="9:9" x14ac:dyDescent="0.25">
      <c r="I244" s="6"/>
    </row>
    <row r="245" spans="9:9" x14ac:dyDescent="0.25">
      <c r="I245" s="6"/>
    </row>
    <row r="246" spans="9:9" x14ac:dyDescent="0.25">
      <c r="I246" s="6"/>
    </row>
    <row r="247" spans="9:9" x14ac:dyDescent="0.25">
      <c r="I247" s="6"/>
    </row>
    <row r="248" spans="9:9" x14ac:dyDescent="0.25">
      <c r="I248" s="6"/>
    </row>
    <row r="249" spans="9:9" x14ac:dyDescent="0.25">
      <c r="I249" s="6"/>
    </row>
    <row r="250" spans="9:9" x14ac:dyDescent="0.25">
      <c r="I250" s="6"/>
    </row>
    <row r="251" spans="9:9" x14ac:dyDescent="0.25">
      <c r="I251" s="6"/>
    </row>
    <row r="252" spans="9:9" x14ac:dyDescent="0.25">
      <c r="I252" s="6"/>
    </row>
  </sheetData>
  <phoneticPr fontId="0" type="noConversion"/>
  <pageMargins left="0.75" right="0.75" top="1" bottom="1" header="0.5" footer="0.5"/>
  <headerFooter alignWithMargins="0"/>
  <ignoredErrors>
    <ignoredError sqref="G18:G152 G153:G170"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0"/>
  </sheetPr>
  <dimension ref="A1"/>
  <sheetViews>
    <sheetView workbookViewId="0">
      <selection activeCell="Q28" sqref="Q28"/>
    </sheetView>
  </sheetViews>
  <sheetFormatPr defaultColWidth="9.1796875" defaultRowHeight="12.5" x14ac:dyDescent="0.25"/>
  <cols>
    <col min="1" max="16384" width="9.1796875" style="17"/>
  </cols>
  <sheetData/>
  <phoneticPr fontId="2"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Glossary</vt:lpstr>
      <vt:lpstr>TIC data</vt:lpstr>
      <vt:lpstr>Basic Balance</vt:lpstr>
      <vt:lpstr>Disclaimer</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prastan</dc:creator>
  <cp:lastModifiedBy>vd1</cp:lastModifiedBy>
  <dcterms:created xsi:type="dcterms:W3CDTF">2005-09-22T15:45:01Z</dcterms:created>
  <dcterms:modified xsi:type="dcterms:W3CDTF">2025-04-02T17:01:39Z</dcterms:modified>
</cp:coreProperties>
</file>